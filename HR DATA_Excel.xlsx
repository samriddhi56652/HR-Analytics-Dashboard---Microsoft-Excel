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4aa308eb58f7744a/Desktop/PROJECTS/Excel/"/>
    </mc:Choice>
  </mc:AlternateContent>
  <xr:revisionPtr revIDLastSave="501" documentId="8_{830C9618-7D33-4A0F-9594-B30FBDFA654E}" xr6:coauthVersionLast="47" xr6:coauthVersionMax="47" xr10:uidLastSave="{0475A9BB-45EA-4ED3-9DF7-E48F619A209C}"/>
  <bookViews>
    <workbookView xWindow="-110" yWindow="-110" windowWidth="19420" windowHeight="10300" activeTab="4" xr2:uid="{00000000-000D-0000-FFFF-FFFF00000000}"/>
  </bookViews>
  <sheets>
    <sheet name="Data" sheetId="1" r:id="rId1"/>
    <sheet name="Gender" sheetId="10" r:id="rId2"/>
    <sheet name="Rating" sheetId="9" r:id="rId3"/>
    <sheet name="KPI" sheetId="7" r:id="rId4"/>
    <sheet name="Dashboard" sheetId="3" r:id="rId5"/>
    <sheet name="Images" sheetId="2" r:id="rId6"/>
  </sheets>
  <definedNames>
    <definedName name="Slicer_Education_Field">#N/A</definedName>
    <definedName name="Slicer_Education_Field1">#N/A</definedName>
    <definedName name="Slicer_Gender">#N/A</definedName>
    <definedName name="Slicer_Gender1">#N/A</definedName>
    <definedName name="Slicer_Gender2">#N/A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C9" i="10" l="1"/>
  <c r="C8" i="10"/>
  <c r="E7" i="7"/>
  <c r="B9" i="10"/>
  <c r="B8" i="10"/>
  <c r="B6" i="9"/>
  <c r="B7" i="9"/>
  <c r="C6" i="9" l="1"/>
  <c r="C7" i="9"/>
  <c r="C7" i="7"/>
  <c r="B7" i="7"/>
  <c r="A7" i="7"/>
  <c r="D7" i="7" l="1"/>
</calcChain>
</file>

<file path=xl/sharedStrings.xml><?xml version="1.0" encoding="utf-8"?>
<sst xmlns="http://schemas.openxmlformats.org/spreadsheetml/2006/main" count="19172" uniqueCount="1568">
  <si>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</si>
  <si>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</si>
  <si>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</si>
  <si>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</si>
  <si>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</si>
  <si>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</si>
  <si>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</si>
  <si>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</si>
  <si>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</si>
  <si>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</si>
  <si>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</si>
  <si>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</si>
  <si>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</si>
  <si>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</si>
  <si>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</si>
  <si>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</si>
  <si>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</si>
  <si>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</si>
  <si>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</si>
  <si>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</si>
  <si>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</si>
  <si>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</si>
  <si>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</si>
  <si>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</si>
  <si>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</si>
  <si>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</si>
  <si>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</si>
  <si>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</si>
  <si>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</si>
  <si>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</si>
  <si>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</si>
  <si>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</si>
  <si>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</si>
  <si>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</si>
  <si>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</si>
  <si>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</si>
  <si>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</si>
  <si>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</si>
  <si>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</si>
  <si>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</si>
  <si>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</si>
  <si>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</si>
  <si>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</si>
  <si>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</si>
  <si>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</si>
  <si>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</si>
  <si>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</si>
  <si>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</si>
  <si>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</si>
  <si>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</si>
  <si>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</si>
  <si>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</si>
  <si>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</si>
  <si>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</si>
  <si>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</si>
  <si>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</si>
  <si>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</si>
  <si>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</si>
  <si>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</si>
  <si>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</si>
  <si>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</si>
  <si>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</si>
  <si>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</si>
  <si>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</si>
  <si>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</si>
  <si>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</si>
  <si>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</si>
  <si>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</si>
  <si>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</si>
  <si>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</si>
  <si>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</si>
  <si>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</si>
  <si>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</si>
  <si>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</si>
  <si>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</si>
  <si>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</si>
  <si>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</si>
  <si>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</si>
  <si>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</si>
  <si>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</si>
  <si>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</si>
  <si>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</si>
  <si>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</si>
  <si>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</si>
  <si>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</si>
  <si>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</si>
  <si>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</si>
  <si>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</si>
  <si>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</si>
  <si>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</si>
  <si>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</si>
  <si>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</si>
  <si>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</si>
  <si>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</si>
  <si>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</si>
  <si>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</si>
  <si>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</si>
  <si>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</si>
  <si>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</si>
  <si>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</si>
  <si>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</si>
  <si>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</si>
  <si>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</si>
  <si>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</si>
  <si>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</si>
  <si>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</si>
  <si>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</si>
  <si>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</si>
  <si>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</si>
  <si>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</si>
  <si>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</si>
  <si>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</si>
  <si>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</si>
  <si>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</si>
  <si>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</si>
  <si>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</si>
  <si>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</si>
  <si>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</si>
  <si>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</si>
  <si>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</si>
  <si>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</si>
  <si>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</si>
  <si>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</si>
  <si>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</si>
  <si>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</si>
  <si>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</si>
  <si>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</si>
  <si>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</si>
  <si>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</si>
  <si>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</si>
  <si>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</si>
  <si>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</si>
  <si>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</si>
  <si>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</si>
  <si>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</si>
  <si>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</si>
  <si>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</si>
  <si>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</si>
  <si>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</si>
  <si>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</si>
  <si>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</si>
  <si>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</si>
  <si>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</si>
  <si>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</si>
  <si>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</si>
  <si>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</si>
  <si>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</si>
  <si>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</si>
  <si>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</si>
  <si>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</si>
  <si>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</si>
  <si>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</si>
  <si>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</si>
  <si>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</si>
  <si>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</si>
  <si>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</si>
  <si>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</si>
  <si>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</si>
  <si>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</si>
  <si>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</si>
  <si>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</si>
  <si>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</si>
  <si>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</si>
  <si>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</si>
  <si>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</si>
  <si>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</si>
  <si>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</si>
  <si>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</si>
  <si>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</si>
  <si>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</si>
  <si>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</si>
  <si>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</si>
  <si>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</si>
  <si>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</si>
  <si>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</si>
  <si>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</si>
  <si>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</si>
  <si>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</si>
  <si>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</si>
  <si>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</si>
  <si>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</si>
  <si>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</si>
  <si>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</si>
  <si>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</si>
  <si>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</si>
  <si>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</si>
  <si>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</si>
  <si>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</si>
  <si>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</si>
  <si>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</si>
  <si>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</si>
  <si>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</si>
  <si>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</si>
  <si>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</si>
  <si>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</si>
  <si>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</si>
  <si>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</si>
  <si>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</si>
  <si>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</si>
  <si>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</si>
  <si>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</si>
  <si>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</si>
  <si>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</si>
  <si>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</si>
  <si>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</si>
  <si>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</si>
  <si>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</si>
  <si>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</si>
  <si>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</si>
  <si>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</si>
  <si>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</si>
  <si>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</si>
  <si>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</si>
  <si>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</si>
  <si>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</si>
  <si>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</si>
  <si>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</si>
  <si>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</si>
  <si>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</si>
  <si>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</si>
  <si>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</si>
  <si>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</si>
  <si>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</si>
  <si>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</si>
  <si>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</si>
  <si>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</si>
  <si>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</si>
  <si>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</si>
  <si>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</si>
  <si>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</si>
  <si>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</si>
  <si>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</si>
  <si>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</si>
  <si>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</si>
  <si>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</si>
  <si>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</si>
  <si>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</si>
  <si>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</si>
  <si>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</si>
  <si>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</si>
  <si>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</si>
  <si>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</si>
  <si>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</si>
  <si>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</si>
  <si>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</si>
  <si>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</si>
  <si>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</si>
  <si>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</si>
  <si>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</si>
  <si>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</si>
  <si>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</si>
  <si>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</si>
  <si>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</si>
  <si>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</si>
  <si>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</si>
  <si>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</si>
  <si>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</si>
  <si>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</si>
  <si>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</si>
  <si>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</si>
  <si>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</si>
  <si>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</si>
  <si>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</si>
  <si>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</si>
  <si>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</si>
  <si>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</si>
  <si>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</si>
  <si>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</si>
  <si>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</si>
  <si>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</si>
  <si>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</si>
  <si>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</si>
  <si>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</si>
  <si>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</si>
  <si>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</si>
  <si>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</si>
  <si>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</si>
  <si>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</si>
  <si>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</si>
  <si>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</si>
  <si>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</si>
  <si>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</si>
  <si>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</si>
  <si>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</si>
  <si>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</si>
  <si>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</si>
  <si>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</si>
  <si>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</si>
  <si>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</si>
  <si>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</si>
  <si>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</si>
  <si>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</si>
  <si>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</si>
  <si>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</si>
  <si>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</si>
  <si>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</si>
  <si>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</si>
  <si>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</si>
  <si>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</si>
  <si>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</si>
  <si>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</si>
  <si>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</si>
  <si>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</si>
  <si>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</si>
  <si>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</si>
  <si>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</si>
  <si>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</si>
  <si>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</si>
  <si>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</si>
  <si>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</si>
  <si>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</si>
  <si>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</si>
  <si>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</si>
  <si>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</si>
  <si>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</si>
  <si>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</si>
  <si>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</si>
  <si>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</si>
  <si>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</si>
  <si>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</si>
  <si>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</si>
  <si>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</si>
  <si>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</si>
  <si>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</si>
  <si>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</si>
  <si>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</si>
  <si>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</si>
  <si>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</si>
  <si>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</si>
  <si>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</si>
  <si>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</si>
  <si>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</si>
  <si>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</si>
  <si>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</si>
  <si>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</si>
  <si>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</si>
  <si>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</si>
  <si>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</si>
  <si>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</si>
  <si>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</si>
  <si>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</si>
  <si>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</si>
  <si>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</si>
  <si>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</si>
  <si>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</si>
  <si>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</si>
  <si>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</si>
  <si>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</si>
  <si>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</si>
  <si>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</si>
  <si>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</si>
  <si>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</si>
  <si>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</si>
  <si>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</si>
  <si>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</si>
  <si>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</si>
  <si>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</si>
  <si>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</si>
  <si>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</si>
  <si>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</si>
  <si>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</si>
  <si>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</si>
  <si>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</si>
  <si>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</si>
  <si>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</si>
  <si>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</si>
  <si>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</si>
  <si>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</si>
  <si>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</si>
  <si>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</si>
  <si>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</si>
  <si>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</si>
  <si>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</si>
  <si>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</si>
  <si>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</si>
  <si>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</si>
  <si>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</si>
  <si>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</si>
  <si>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</si>
  <si>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</si>
  <si>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</si>
  <si>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</si>
  <si>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</si>
  <si>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</si>
  <si>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</si>
  <si>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</si>
  <si>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</si>
  <si>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</si>
  <si>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</si>
  <si>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</si>
  <si>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</si>
  <si>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</si>
  <si>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</si>
  <si>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</si>
  <si>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</si>
  <si>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</si>
  <si>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</si>
  <si>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</si>
  <si>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</si>
  <si>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</si>
  <si>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</si>
  <si>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</si>
  <si>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</si>
  <si>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</si>
  <si>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</si>
  <si>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</si>
  <si>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</si>
  <si>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</si>
  <si>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</si>
  <si>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</si>
  <si>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</si>
  <si>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</si>
  <si>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</si>
  <si>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</si>
  <si>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</si>
  <si>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</si>
  <si>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</si>
  <si>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</si>
  <si>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</si>
  <si>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</si>
  <si>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</si>
  <si>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</si>
  <si>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</si>
  <si>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</si>
  <si>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</si>
  <si>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</si>
  <si>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</si>
  <si>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</si>
  <si>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</si>
  <si>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</si>
  <si>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</si>
  <si>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</si>
  <si>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</si>
  <si>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</si>
  <si>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</si>
  <si>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</si>
  <si>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</si>
  <si>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</si>
  <si>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</si>
  <si>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</si>
  <si>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</si>
  <si>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</si>
  <si>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</si>
  <si>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</si>
  <si>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</si>
  <si>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</si>
  <si>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</si>
  <si>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</si>
  <si>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</si>
  <si>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</si>
  <si>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</si>
  <si>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</si>
  <si>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</si>
  <si>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</si>
  <si>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</si>
  <si>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</si>
  <si>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</si>
  <si>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</si>
  <si>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</si>
  <si>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</si>
  <si>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</si>
  <si>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</si>
  <si>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</si>
  <si>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</si>
  <si>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</si>
  <si>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</si>
  <si>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</si>
  <si>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</si>
  <si>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</si>
  <si>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</si>
  <si>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</si>
  <si>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</si>
  <si>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</si>
  <si>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</si>
  <si>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</si>
  <si>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</si>
  <si>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</si>
  <si>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</si>
  <si>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</si>
  <si>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</si>
  <si>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</si>
  <si>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</si>
  <si>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</si>
  <si>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</si>
  <si>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</si>
  <si>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</si>
  <si>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</si>
  <si>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</si>
  <si>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</si>
  <si>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</si>
  <si>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</si>
  <si>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</si>
  <si>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</si>
  <si>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</si>
  <si>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</si>
  <si>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</si>
  <si>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</si>
  <si>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</si>
  <si>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</si>
  <si>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</si>
  <si>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</si>
  <si>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</si>
  <si>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</si>
  <si>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</si>
  <si>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</si>
  <si>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</si>
  <si>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</si>
  <si>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</si>
  <si>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</si>
  <si>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</si>
  <si>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</si>
  <si>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</si>
  <si>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</si>
  <si>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</si>
  <si>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</si>
  <si>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</si>
  <si>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</si>
  <si>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</si>
  <si>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</si>
  <si>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</si>
  <si>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</si>
  <si>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</si>
  <si>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</si>
  <si>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</si>
  <si>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</si>
  <si>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</si>
  <si>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</si>
  <si>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</si>
  <si>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</si>
  <si>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</si>
  <si>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</si>
  <si>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</si>
  <si>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</si>
  <si>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</si>
  <si>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</si>
  <si>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</si>
  <si>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</si>
  <si>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</si>
  <si>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</si>
  <si>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</si>
  <si>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</si>
  <si>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</si>
  <si>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</si>
  <si>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</si>
  <si>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</si>
  <si>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</si>
  <si>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</si>
  <si>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</si>
  <si>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</si>
  <si>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</si>
  <si>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</si>
  <si>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</si>
  <si>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</si>
  <si>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</si>
  <si>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</si>
  <si>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</si>
  <si>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</si>
  <si>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</si>
  <si>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</si>
  <si>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</si>
  <si>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</si>
  <si>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</si>
  <si>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</si>
  <si>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</si>
  <si>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</si>
  <si>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</si>
  <si>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</si>
  <si>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</si>
  <si>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</si>
  <si>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</si>
  <si>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</si>
  <si>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</si>
  <si>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</si>
  <si>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</si>
  <si>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</si>
  <si>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</si>
  <si>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</si>
  <si>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</si>
  <si>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</si>
  <si>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</si>
  <si>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</si>
  <si>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</si>
  <si>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</si>
  <si>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</si>
  <si>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</si>
  <si>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</si>
  <si>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</si>
  <si>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</si>
  <si>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</si>
  <si>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</si>
  <si>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</si>
  <si>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</si>
  <si>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</si>
  <si>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</si>
  <si>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</si>
  <si>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</si>
  <si>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</si>
  <si>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</si>
  <si>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</si>
  <si>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</si>
  <si>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</si>
  <si>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</si>
  <si>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</si>
  <si>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</si>
  <si>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</si>
  <si>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</si>
  <si>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</si>
  <si>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</si>
  <si>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</si>
  <si>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</si>
  <si>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</si>
  <si>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</si>
  <si>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</si>
  <si>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</si>
  <si>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</si>
  <si>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</si>
  <si>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</si>
  <si>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</si>
  <si>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</si>
  <si>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</si>
  <si>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</si>
  <si>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</si>
  <si>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</si>
  <si>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</si>
  <si>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</si>
  <si>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</si>
  <si>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</si>
  <si>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</si>
  <si>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</si>
  <si>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</si>
  <si>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</si>
  <si>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</si>
  <si>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</si>
  <si>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</si>
  <si>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</si>
  <si>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</si>
  <si>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</si>
  <si>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</si>
  <si>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</si>
  <si>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</si>
  <si>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</si>
  <si>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</si>
  <si>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</si>
  <si>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</si>
  <si>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</si>
  <si>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</si>
  <si>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</si>
  <si>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</si>
  <si>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</si>
  <si>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</si>
  <si>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</si>
  <si>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</si>
  <si>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</si>
  <si>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</si>
  <si>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</si>
  <si>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</si>
  <si>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</si>
  <si>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</si>
  <si>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</si>
  <si>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</si>
  <si>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</si>
  <si>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</si>
  <si>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</si>
  <si>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</si>
  <si>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</si>
  <si>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</si>
  <si>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</si>
  <si>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</si>
  <si>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</si>
  <si>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</si>
  <si>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</si>
  <si>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</si>
  <si>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</si>
  <si>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</si>
  <si>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</si>
  <si>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</si>
  <si>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</si>
  <si>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</si>
  <si>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</si>
  <si>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</si>
  <si>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</si>
  <si>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</si>
  <si>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</si>
  <si>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</si>
  <si>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</si>
  <si>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</si>
  <si>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</si>
  <si>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</si>
  <si>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</si>
  <si>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</si>
  <si>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</si>
  <si>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</si>
  <si>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</si>
  <si>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</si>
  <si>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</si>
  <si>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</si>
  <si>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</si>
  <si>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</si>
  <si>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</si>
  <si>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</si>
  <si>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</si>
  <si>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</si>
  <si>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</si>
  <si>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</si>
  <si>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</si>
  <si>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</si>
  <si>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</si>
  <si>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</si>
  <si>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</si>
  <si>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</si>
  <si>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</si>
  <si>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</si>
  <si>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</si>
  <si>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</si>
  <si>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</si>
  <si>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</si>
  <si>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</si>
  <si>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</si>
  <si>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</si>
  <si>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</si>
  <si>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</si>
  <si>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</si>
  <si>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</si>
  <si>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</si>
  <si>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</si>
  <si>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</si>
  <si>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</si>
  <si>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</si>
  <si>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</si>
  <si>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</si>
  <si>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</si>
  <si>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</si>
  <si>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</si>
  <si>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</si>
  <si>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</si>
  <si>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</si>
  <si>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</si>
  <si>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</si>
  <si>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</si>
  <si>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</si>
  <si>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</si>
  <si>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</si>
  <si>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</si>
  <si>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</si>
  <si>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</si>
  <si>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</si>
  <si>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</si>
  <si>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</si>
  <si>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</si>
  <si>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</si>
  <si>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</si>
  <si>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</si>
  <si>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</si>
  <si>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</si>
  <si>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</si>
  <si>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</si>
  <si>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</si>
  <si>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</si>
  <si>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</si>
  <si>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</si>
  <si>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</si>
  <si>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</si>
  <si>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</si>
  <si>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</si>
  <si>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</si>
  <si>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</si>
  <si>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</si>
  <si>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</si>
  <si>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</si>
  <si>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</si>
  <si>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</si>
  <si>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</si>
  <si>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</si>
  <si>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</si>
  <si>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</si>
  <si>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</si>
  <si>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</si>
  <si>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</si>
  <si>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</si>
  <si>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</si>
  <si>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</si>
  <si>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</si>
  <si>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</si>
  <si>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</si>
  <si>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</si>
  <si>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</si>
  <si>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</si>
  <si>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</si>
  <si>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</si>
  <si>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</si>
  <si>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</si>
  <si>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</si>
  <si>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</si>
  <si>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</si>
  <si>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</si>
  <si>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</si>
  <si>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</si>
  <si>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</si>
  <si>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</si>
  <si>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</si>
  <si>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</si>
  <si>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</si>
  <si>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</si>
  <si>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</si>
  <si>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</si>
  <si>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</si>
  <si>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</si>
  <si>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</si>
  <si>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</si>
  <si>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</si>
  <si>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</si>
  <si>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</si>
  <si>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</si>
  <si>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</si>
  <si>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</si>
  <si>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</si>
  <si>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</si>
  <si>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</si>
  <si>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</si>
  <si>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</si>
  <si>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</si>
  <si>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</si>
  <si>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</si>
  <si>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</si>
  <si>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</si>
  <si>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</si>
  <si>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</si>
  <si>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</si>
  <si>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</si>
  <si>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</si>
  <si>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</si>
  <si>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</si>
  <si>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</si>
  <si>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</si>
  <si>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</si>
  <si>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</si>
  <si>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</si>
  <si>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</si>
  <si>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</si>
  <si>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</si>
  <si>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</si>
  <si>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</si>
  <si>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</si>
  <si>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</si>
  <si>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</si>
  <si>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</si>
  <si>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</si>
  <si>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</si>
  <si>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</si>
  <si>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</si>
  <si>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</si>
  <si>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</si>
  <si>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</si>
  <si>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</si>
  <si>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</si>
  <si>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</si>
  <si>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</si>
  <si>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</si>
  <si>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</si>
  <si>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</si>
  <si>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</si>
  <si>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</si>
  <si>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</si>
  <si>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</si>
  <si>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</si>
  <si>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</si>
  <si>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</si>
  <si>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</si>
  <si>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</si>
  <si>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</si>
  <si>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</si>
  <si>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</si>
  <si>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</si>
  <si>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</si>
  <si>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</si>
  <si>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</si>
  <si>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</si>
  <si>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</si>
  <si>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</si>
  <si>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</si>
  <si>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</si>
  <si>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</si>
  <si>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</si>
  <si>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</si>
  <si>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</si>
  <si>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</si>
  <si>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</si>
  <si>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</si>
  <si>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</si>
  <si>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</si>
  <si>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</si>
  <si>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</si>
  <si>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</si>
  <si>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</si>
  <si>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</si>
  <si>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</si>
  <si>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</si>
  <si>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</si>
  <si>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</si>
  <si>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</si>
  <si>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</si>
  <si>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</si>
  <si>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</si>
  <si>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</si>
  <si>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</si>
  <si>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</si>
  <si>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</si>
  <si>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</si>
  <si>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</si>
  <si>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</si>
  <si>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</si>
  <si>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</si>
  <si>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</si>
  <si>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</si>
  <si>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</si>
  <si>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</si>
  <si>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</si>
  <si>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</si>
  <si>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</si>
  <si>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</si>
  <si>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</si>
  <si>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</si>
  <si>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</si>
  <si>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</si>
  <si>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</si>
  <si>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</si>
  <si>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</si>
  <si>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</si>
  <si>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</si>
  <si>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</si>
  <si>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</si>
  <si>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</si>
  <si>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</si>
  <si>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</si>
  <si>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</si>
  <si>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</si>
  <si>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</si>
  <si>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</si>
  <si>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</si>
  <si>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</si>
  <si>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</si>
  <si>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</si>
  <si>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</si>
  <si>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</si>
  <si>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</si>
  <si>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</si>
  <si>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</si>
  <si>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</si>
  <si>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</si>
  <si>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</si>
  <si>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</si>
  <si>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</si>
  <si>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</si>
  <si>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</si>
  <si>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</si>
  <si>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</si>
  <si>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</si>
  <si>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</si>
  <si>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</si>
  <si>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</si>
  <si>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</si>
  <si>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</si>
  <si>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</si>
  <si>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</si>
  <si>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</si>
  <si>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</si>
  <si>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</si>
  <si>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</si>
  <si>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</si>
  <si>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</si>
  <si>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</si>
  <si>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</si>
  <si>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</si>
  <si>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</si>
  <si>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</si>
  <si>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</si>
  <si>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</si>
  <si>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</si>
  <si>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</si>
  <si>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</si>
  <si>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</si>
  <si>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</si>
  <si>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</si>
  <si>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</si>
  <si>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</si>
  <si>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</si>
  <si>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</si>
  <si>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</si>
  <si>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</si>
  <si>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</si>
  <si>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</si>
  <si>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</si>
  <si>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</si>
  <si>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</si>
  <si>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</si>
  <si>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</si>
  <si>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</si>
  <si>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</si>
  <si>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</si>
  <si>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</si>
  <si>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</si>
  <si>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</si>
  <si>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</si>
  <si>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</si>
  <si>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</si>
  <si>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</si>
  <si>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</si>
  <si>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</si>
  <si>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</si>
  <si>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</si>
  <si>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</si>
  <si>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</si>
  <si>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</si>
  <si>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</si>
  <si>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</si>
  <si>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</si>
  <si>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</si>
  <si>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</si>
  <si>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</si>
  <si>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</si>
  <si>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</si>
  <si>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</si>
  <si>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</si>
  <si>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</si>
  <si>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</si>
  <si>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</si>
  <si>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</si>
  <si>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</si>
  <si>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</si>
  <si>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</si>
  <si>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</si>
  <si>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</si>
  <si>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</si>
  <si>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</si>
  <si>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</si>
  <si>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</si>
  <si>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</si>
  <si>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</si>
  <si>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</si>
  <si>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</si>
  <si>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</si>
  <si>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</si>
  <si>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</si>
  <si>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</si>
  <si>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</si>
  <si>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</si>
  <si>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</si>
  <si>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</si>
  <si>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</si>
  <si>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</si>
  <si>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</si>
  <si>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</si>
  <si>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</si>
  <si>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</si>
  <si>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</si>
  <si>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</si>
  <si>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</si>
  <si>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</si>
  <si>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</si>
  <si>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</si>
  <si>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</si>
  <si>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</si>
  <si>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</si>
  <si>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</si>
  <si>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</si>
  <si>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</si>
  <si>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</si>
  <si>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</si>
  <si>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</si>
  <si>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</si>
  <si>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</si>
  <si>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</si>
  <si>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</si>
  <si>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</si>
  <si>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</si>
  <si>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</si>
  <si>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</si>
  <si>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</si>
  <si>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</si>
  <si>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</si>
  <si>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</si>
  <si>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</si>
  <si>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</si>
  <si>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</si>
  <si>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</si>
  <si>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</si>
  <si>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</si>
  <si>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</si>
  <si>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</si>
  <si>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</si>
  <si>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</si>
  <si>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</si>
  <si>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</si>
  <si>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</si>
  <si>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</si>
  <si>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</si>
  <si>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</si>
  <si>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</si>
  <si>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</si>
  <si>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</si>
  <si>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</si>
  <si>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</si>
  <si>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</si>
  <si>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</si>
  <si>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</si>
  <si>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</si>
  <si>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</si>
  <si>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</si>
  <si>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</si>
  <si>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</si>
  <si>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</si>
  <si>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</si>
  <si>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</si>
  <si>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</si>
  <si>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</si>
  <si>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</si>
  <si>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</si>
  <si>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</si>
  <si>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</si>
  <si>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</si>
  <si>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</si>
  <si>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</si>
  <si>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</si>
  <si>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</si>
  <si>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</si>
  <si>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</si>
  <si>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</si>
  <si>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</si>
  <si>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</si>
  <si>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</si>
  <si>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</si>
  <si>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</si>
  <si>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</si>
  <si>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</si>
  <si>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</si>
  <si>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</si>
  <si>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</si>
  <si>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</si>
  <si>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</si>
  <si>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</si>
  <si>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</si>
  <si>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</si>
  <si>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</si>
  <si>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</si>
  <si>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</si>
  <si>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</si>
  <si>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</si>
  <si>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</si>
  <si>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</si>
  <si>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</si>
  <si>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</si>
  <si>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</si>
  <si>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</si>
  <si>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</si>
  <si>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</si>
  <si>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</si>
  <si>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</si>
  <si>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</si>
  <si>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</si>
  <si>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</si>
  <si>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</si>
  <si>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</si>
  <si>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</si>
  <si>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</si>
  <si>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</si>
  <si>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</si>
  <si>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</si>
  <si>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</si>
  <si>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</si>
  <si>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</si>
  <si>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</si>
  <si>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</si>
  <si>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</si>
  <si>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</si>
  <si>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</si>
  <si>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</si>
  <si>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</si>
  <si>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</si>
  <si>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</si>
  <si>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</si>
  <si>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</si>
  <si>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</si>
  <si>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</si>
  <si>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</si>
  <si>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</si>
  <si>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</si>
  <si>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</si>
  <si>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</si>
  <si>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</si>
  <si>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</si>
  <si>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</si>
  <si>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</si>
  <si>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</si>
  <si>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</si>
  <si>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</si>
  <si>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</si>
  <si>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</si>
  <si>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</si>
  <si>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</si>
  <si>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</si>
  <si>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</si>
  <si>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</si>
  <si>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</si>
  <si>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</si>
  <si>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</si>
  <si>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</si>
  <si>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</si>
  <si>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</si>
  <si>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</si>
  <si>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</si>
  <si>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</si>
  <si>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</si>
  <si>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</si>
  <si>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</si>
  <si>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</si>
  <si>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</si>
  <si>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</si>
  <si>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</si>
  <si>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</si>
  <si>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</si>
  <si>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</si>
  <si>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</si>
  <si>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</si>
  <si>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</si>
  <si>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</si>
  <si>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</si>
  <si>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</si>
  <si>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</si>
  <si>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</si>
  <si>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</si>
  <si>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</si>
  <si>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</si>
  <si>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</si>
  <si>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</si>
  <si>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</si>
  <si>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</si>
  <si>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</si>
  <si>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</si>
  <si>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</si>
  <si>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</si>
  <si>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</si>
  <si>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</si>
  <si>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</si>
  <si>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</si>
  <si>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</si>
  <si>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</si>
  <si>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</si>
  <si>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</si>
  <si>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</si>
  <si>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</si>
  <si>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</si>
  <si>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</si>
  <si>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</si>
  <si>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</si>
  <si>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</si>
  <si>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</si>
  <si>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</si>
  <si>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</si>
  <si>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</si>
  <si>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</si>
  <si>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</si>
  <si>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</si>
  <si>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</si>
  <si>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</si>
  <si>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</si>
  <si>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</si>
  <si>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</si>
  <si>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</si>
  <si>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</si>
  <si>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</si>
  <si>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</si>
  <si>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</si>
  <si>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</si>
  <si>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</si>
  <si>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</si>
  <si>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</si>
  <si>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</si>
  <si>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</si>
  <si>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</si>
  <si>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</si>
  <si>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</si>
  <si>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</si>
  <si>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</si>
  <si>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</si>
  <si>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</si>
  <si>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</si>
  <si>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</si>
  <si>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</si>
  <si>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</si>
  <si>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</si>
  <si>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</si>
  <si>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</si>
  <si>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</si>
  <si>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</si>
  <si>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</si>
  <si>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</si>
  <si>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</si>
  <si>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</si>
  <si>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</si>
  <si>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</si>
  <si>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</si>
  <si>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</si>
  <si>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</si>
  <si>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</si>
  <si>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</si>
  <si>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</si>
  <si>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</si>
  <si>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</si>
  <si>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</si>
  <si>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</si>
  <si>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</si>
  <si>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</si>
  <si>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</si>
  <si>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</si>
  <si>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</si>
  <si>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</si>
  <si>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</si>
  <si>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</si>
  <si>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</si>
  <si>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</si>
  <si>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</si>
  <si>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</si>
  <si>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</si>
  <si>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</si>
  <si>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</si>
  <si>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</si>
  <si>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</si>
  <si>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</si>
  <si>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</si>
  <si>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</si>
  <si>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</si>
  <si>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</si>
  <si>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</si>
  <si>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</si>
  <si>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</si>
  <si>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</si>
  <si>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</si>
  <si>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</si>
  <si>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</si>
  <si>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</si>
  <si>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</si>
  <si>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</si>
  <si>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</si>
  <si>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</si>
  <si>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</si>
  <si>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</si>
  <si>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</si>
  <si>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</si>
  <si>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</si>
  <si>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</si>
  <si>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</si>
  <si>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</si>
  <si>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</si>
  <si>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</si>
  <si>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</si>
  <si>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</si>
  <si>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</si>
  <si>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</si>
  <si>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</si>
  <si>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</si>
  <si>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</si>
  <si>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</si>
  <si>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</si>
  <si>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</si>
  <si>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</si>
  <si>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</si>
  <si>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</si>
  <si>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</si>
  <si>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</si>
  <si>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</si>
  <si>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</si>
  <si>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</si>
  <si>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</si>
  <si>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</si>
  <si>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</si>
  <si>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</si>
  <si>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</si>
  <si>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</si>
  <si>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</si>
  <si>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</si>
  <si>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</si>
  <si>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</si>
  <si>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</si>
  <si>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</si>
  <si>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</si>
  <si>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</si>
  <si>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</si>
  <si>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</si>
  <si>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</si>
  <si>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</si>
  <si>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</si>
  <si>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</si>
  <si>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</si>
  <si>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</si>
  <si>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</si>
  <si>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</si>
  <si>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</si>
  <si>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</si>
  <si>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</si>
  <si>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</si>
  <si>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</si>
  <si>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</si>
  <si>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</si>
  <si>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</si>
  <si>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</si>
  <si>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</si>
  <si>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</si>
  <si>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</si>
  <si>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</si>
  <si>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</si>
  <si>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</si>
  <si>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</si>
  <si>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</si>
  <si>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</si>
  <si>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</si>
  <si>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</si>
  <si>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</si>
  <si>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</si>
  <si>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</si>
  <si>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</si>
  <si>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</si>
  <si>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</si>
  <si>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</si>
  <si>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</si>
  <si>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</si>
  <si>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</si>
  <si>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</si>
  <si>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</si>
  <si>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</si>
  <si>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</si>
  <si>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</si>
  <si>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</si>
  <si>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</si>
  <si>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</si>
  <si>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</si>
  <si>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</si>
  <si>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</si>
  <si>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</si>
  <si>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</si>
  <si>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</si>
  <si>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</si>
  <si>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</si>
  <si>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</si>
  <si>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</si>
  <si>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</si>
  <si>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</si>
  <si>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</si>
  <si>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</si>
  <si>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</si>
  <si>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</si>
  <si>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</si>
  <si>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</si>
  <si>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</si>
  <si>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</si>
  <si>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</si>
  <si>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</si>
  <si>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</si>
  <si>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</si>
  <si>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</si>
  <si>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</si>
  <si>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</si>
  <si>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</si>
  <si>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</si>
  <si>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</si>
  <si>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</si>
  <si>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</si>
  <si>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</si>
  <si>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</si>
  <si>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</si>
  <si>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</si>
  <si>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</si>
  <si>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</si>
  <si>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</si>
  <si>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</si>
  <si>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</si>
  <si>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</si>
  <si>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</si>
  <si>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</si>
  <si>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</si>
  <si>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</si>
  <si>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</si>
  <si>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</si>
  <si>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</si>
  <si>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</si>
  <si>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</si>
  <si>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</si>
  <si>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</si>
  <si>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</si>
  <si>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</si>
  <si>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</si>
  <si>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</si>
  <si>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</si>
  <si>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</si>
  <si>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</si>
  <si>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</si>
  <si>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</si>
  <si>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</si>
  <si>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</si>
  <si>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</si>
  <si>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</si>
  <si>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</si>
  <si>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</si>
  <si>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</si>
  <si>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</si>
  <si>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</si>
  <si>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</si>
  <si>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</si>
  <si>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</si>
  <si>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</si>
  <si>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</si>
  <si>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</si>
  <si>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</si>
  <si>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</si>
  <si>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</si>
  <si>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</si>
  <si>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</si>
  <si>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</si>
  <si>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</si>
  <si>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</si>
  <si>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</si>
  <si>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</si>
  <si>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</si>
  <si>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</si>
  <si>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</si>
  <si>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</si>
  <si>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</si>
  <si>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</si>
  <si>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</si>
  <si>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</si>
  <si>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</si>
  <si>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</si>
  <si>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</si>
  <si>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</si>
  <si>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</si>
  <si>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</si>
  <si>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</si>
  <si>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</si>
  <si>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</si>
  <si>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</si>
  <si>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</si>
  <si>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</si>
  <si>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</si>
  <si>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</si>
  <si>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</si>
  <si>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</si>
  <si>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</si>
  <si>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</si>
  <si>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</si>
  <si>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</si>
  <si>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</si>
  <si>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</si>
  <si>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</si>
  <si>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</si>
  <si>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</si>
  <si>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</si>
  <si>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</si>
  <si>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</si>
  <si>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</si>
  <si>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</si>
  <si>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</si>
  <si>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</si>
  <si>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</si>
  <si>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</si>
  <si>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</si>
  <si>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</si>
  <si>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Row Labels</t>
  </si>
  <si>
    <t>Grand Total</t>
  </si>
  <si>
    <t>Count of emp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</si>
</sst>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2" tint="-0.34998626667073579"/>
        <bgColor indexed="64"/>
      </patternFill>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5" xfId="0" applyBorder="1"/>
    <xf numFmtId="0" fontId="0" fillId="0" borderId="6" xfId="0" applyBorder="1"/>
    <xf numFmtId="1" fontId="0" fillId="0" borderId="3" xfId="0" applyNumberFormat="1" applyBorder="1"/>
    <xf numFmtId="0" fontId="1" fillId="0" borderId="0" xfId="0" applyFont="1" applyAlignment="1">
      <alignment horizontal="center"/>
    </xf>
    <xf numFmtId="1" fontId="0" fillId="0" borderId="0" xfId="0" applyNumberFormat="1"/>
    <xf numFmtId="10" fontId="0" fillId="0" borderId="0" xfId="1" applyNumberFormat="1" applyFont="1"/>
    <xf numFmtId="0" fontId="0" fillId="0" borderId="7" xfId="0" applyBorder="1"/>
    <xf numFmtId="0" fontId="0" fillId="2" borderId="0" xfId="0" applyFill="1"/>
    <xf numFmtId="164" fontId="0" fillId="0" borderId="8" xfId="0" applyNumberFormat="1" applyBorder="1"/>
    <xf numFmtId="164" fontId="0" fillId="0" borderId="0" xfId="0" applyNumberFormat="1"/>
    <xf numFmtId="9" fontId="0" fillId="0" borderId="0" xfId="1" applyFont="1"/>
    <xf numFmtId="164" fontId="0" fillId="2" borderId="0" xfId="0" applyNumberFormat="1" applyFill="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10" xfId="0" applyBorder="1"/>
    <xf numFmtId="0" fontId="0" fillId="0" borderId="3" xfId="0" applyBorder="1" applyAlignment="1">
      <alignment horizontal="left"/>
    </xf>
    <xf numFmtId="0" fontId="0" fillId="0" borderId="8" xfId="0" applyBorder="1"/>
    <xf numFmtId="0" fontId="0" fillId="0" borderId="0" xfId="0" applyAlignment="1">
      <alignment horizontal="left"/>
    </xf>
  </cellXfs>
  <cellStyles count="2">
    <cellStyle name="Normal" xfId="0" builtinId="0"/>
    <cellStyle name="Percent" xfId="1" builtinId="5"/>
  </cellStyles>
  <dxfs count="5">
    <dxf>
      <numFmt numFmtId="1" formatCode="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4"/>
      <tableStyleElement type="firstRowStripe" dxfId="3"/>
      <tableStyleElement type="secondRowStripe" dxfId="2"/>
    </tableStyle>
  </tableStyles>
  <colors>
    <mruColors>
      <color rgb="FF602928"/>
      <color rgb="FFAB1D86"/>
      <color rgb="FF000000"/>
      <color rgb="FFD30BD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Gender!$C$8:$C$9</c:f>
              <c:numCache>
                <c:formatCode>0%</c:formatCode>
                <c:ptCount val="2"/>
                <c:pt idx="0">
                  <c:v>0.4</c:v>
                </c:pt>
                <c:pt idx="1">
                  <c:v>0.6</c:v>
                </c:pt>
              </c:numCache>
            </c:numRef>
          </c:val>
          <c:extLst>
            <c:ext xmlns:c16="http://schemas.microsoft.com/office/drawing/2014/chart" uri="{C3380CC4-5D6E-409C-BE32-E72D297353CC}">
              <c16:uniqueId val="{00000000-F963-4266-9712-B92EEE3D50C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8D-4453-99BF-6922AEB945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8D-4453-99BF-6922AEB945E0}"/>
              </c:ext>
            </c:extLst>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0-EDDE-4FD3-B16B-A34F2860CFA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6402-4D6E-A696-30E24354DFF6}"/>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6402-4D6E-A696-30E24354DFF6}"/>
            </c:ext>
          </c:extLst>
        </c:ser>
        <c:dLbls>
          <c:showLegendKey val="0"/>
          <c:showVal val="0"/>
          <c:showCatName val="0"/>
          <c:showSerName val="0"/>
          <c:showPercent val="0"/>
          <c:showBubbleSize val="0"/>
        </c:dLbls>
        <c:gapWidth val="0"/>
        <c:overlap val="100"/>
        <c:axId val="1196721120"/>
        <c:axId val="1196737920"/>
      </c:barChart>
      <c:catAx>
        <c:axId val="1196721120"/>
        <c:scaling>
          <c:orientation val="minMax"/>
        </c:scaling>
        <c:delete val="1"/>
        <c:axPos val="l"/>
        <c:majorTickMark val="out"/>
        <c:minorTickMark val="none"/>
        <c:tickLblPos val="nextTo"/>
        <c:crossAx val="1196737920"/>
        <c:crosses val="autoZero"/>
        <c:auto val="1"/>
        <c:lblAlgn val="ctr"/>
        <c:lblOffset val="100"/>
        <c:noMultiLvlLbl val="0"/>
      </c:catAx>
      <c:valAx>
        <c:axId val="1196737920"/>
        <c:scaling>
          <c:orientation val="minMax"/>
          <c:max val="4"/>
          <c:min val="0"/>
        </c:scaling>
        <c:delete val="1"/>
        <c:axPos val="b"/>
        <c:numFmt formatCode="0.0" sourceLinked="1"/>
        <c:majorTickMark val="out"/>
        <c:minorTickMark val="none"/>
        <c:tickLblPos val="nextTo"/>
        <c:crossAx val="119672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5">
                      <a:lumMod val="60000"/>
                      <a:lumOff val="40000"/>
                    </a:schemeClr>
                  </a:gs>
                  <a:gs pos="0">
                    <a:schemeClr val="accent1">
                      <a:lumMod val="60000"/>
                      <a:lumOff val="40000"/>
                    </a:schemeClr>
                  </a:gs>
                  <a:gs pos="79000">
                    <a:schemeClr val="accent1">
                      <a:lumMod val="50000"/>
                    </a:schemeClr>
                  </a:gs>
                  <a:gs pos="100000">
                    <a:schemeClr val="accent1">
                      <a:lumMod val="50000"/>
                    </a:schemeClr>
                  </a:gs>
                </a:gsLst>
                <a:lin ang="5400000" scaled="1"/>
              </a:gradFill>
              <a:ln w="19050">
                <a:noFill/>
              </a:ln>
              <a:effectLst/>
            </c:spPr>
            <c:extLst>
              <c:ext xmlns:c16="http://schemas.microsoft.com/office/drawing/2014/chart" uri="{C3380CC4-5D6E-409C-BE32-E72D297353CC}">
                <c16:uniqueId val="{00000001-4CEA-4F99-89CF-AC52289F66A7}"/>
              </c:ext>
            </c:extLst>
          </c:dPt>
          <c:dPt>
            <c:idx val="1"/>
            <c:bubble3D val="0"/>
            <c:spPr>
              <a:noFill/>
              <a:ln w="19050">
                <a:noFill/>
              </a:ln>
              <a:effectLst/>
            </c:spPr>
            <c:extLst>
              <c:ext xmlns:c16="http://schemas.microsoft.com/office/drawing/2014/chart" uri="{C3380CC4-5D6E-409C-BE32-E72D297353CC}">
                <c16:uniqueId val="{00000003-4CEA-4F99-89CF-AC52289F66A7}"/>
              </c:ext>
            </c:extLst>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4-4CEA-4F99-89CF-AC52289F66A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5405359024106549E-2"/>
          <c:w val="0.81619263813106546"/>
          <c:h val="0.59135176878304097"/>
        </c:manualLayout>
      </c:layout>
      <c:barChart>
        <c:barDir val="bar"/>
        <c:grouping val="stacked"/>
        <c:varyColors val="0"/>
        <c:ser>
          <c:idx val="0"/>
          <c:order val="0"/>
          <c:spPr>
            <a:solidFill>
              <a:srgbClr val="602928"/>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14AF-49E5-AC44-BE2505D178A9}"/>
            </c:ext>
          </c:extLst>
        </c:ser>
        <c:ser>
          <c:idx val="1"/>
          <c:order val="1"/>
          <c:spPr>
            <a:solidFill>
              <a:schemeClr val="accent2">
                <a:lumMod val="20000"/>
                <a:lumOff val="80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14AF-49E5-AC44-BE2505D178A9}"/>
            </c:ext>
          </c:extLst>
        </c:ser>
        <c:dLbls>
          <c:showLegendKey val="0"/>
          <c:showVal val="0"/>
          <c:showCatName val="0"/>
          <c:showSerName val="0"/>
          <c:showPercent val="0"/>
          <c:showBubbleSize val="0"/>
        </c:dLbls>
        <c:gapWidth val="0"/>
        <c:overlap val="100"/>
        <c:axId val="1196721120"/>
        <c:axId val="1196737920"/>
      </c:barChart>
      <c:catAx>
        <c:axId val="1196721120"/>
        <c:scaling>
          <c:orientation val="minMax"/>
        </c:scaling>
        <c:delete val="1"/>
        <c:axPos val="l"/>
        <c:majorTickMark val="out"/>
        <c:minorTickMark val="none"/>
        <c:tickLblPos val="nextTo"/>
        <c:crossAx val="1196737920"/>
        <c:crosses val="autoZero"/>
        <c:auto val="1"/>
        <c:lblAlgn val="ctr"/>
        <c:lblOffset val="100"/>
        <c:noMultiLvlLbl val="0"/>
      </c:catAx>
      <c:valAx>
        <c:axId val="1196737920"/>
        <c:scaling>
          <c:orientation val="minMax"/>
          <c:max val="4"/>
          <c:min val="0"/>
        </c:scaling>
        <c:delete val="1"/>
        <c:axPos val="b"/>
        <c:numFmt formatCode="0.0" sourceLinked="1"/>
        <c:majorTickMark val="out"/>
        <c:minorTickMark val="none"/>
        <c:tickLblPos val="nextTo"/>
        <c:crossAx val="119672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flip="none" rotWithShape="1">
                <a:gsLst>
                  <a:gs pos="0">
                    <a:srgbClr val="D30BD3"/>
                  </a:gs>
                  <a:gs pos="100000">
                    <a:srgbClr val="AB1D86"/>
                  </a:gs>
                </a:gsLst>
                <a:lin ang="0" scaled="1"/>
                <a:tileRect/>
              </a:gradFill>
              <a:ln w="19050">
                <a:noFill/>
              </a:ln>
              <a:effectLst/>
            </c:spPr>
            <c:extLst>
              <c:ext xmlns:c16="http://schemas.microsoft.com/office/drawing/2014/chart" uri="{C3380CC4-5D6E-409C-BE32-E72D297353CC}">
                <c16:uniqueId val="{00000001-F31A-49FA-A06E-456BA7BB71BB}"/>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F31A-49FA-A06E-456BA7BB71B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F31A-49FA-A06E-456BA7BB71BB}"/>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E6E6-4CDF-BE01-0C507D6924BD}"/>
              </c:ext>
            </c:extLst>
          </c:dPt>
          <c:dPt>
            <c:idx val="1"/>
            <c:bubble3D val="0"/>
            <c:spPr>
              <a:gradFill flip="none" rotWithShape="1">
                <a:gsLst>
                  <a:gs pos="0">
                    <a:schemeClr val="accent1">
                      <a:lumMod val="75000"/>
                    </a:schemeClr>
                  </a:gs>
                  <a:gs pos="100000">
                    <a:schemeClr val="accent1">
                      <a:lumMod val="50000"/>
                    </a:schemeClr>
                  </a:gs>
                </a:gsLst>
                <a:lin ang="16200000" scaled="1"/>
                <a:tileRect/>
              </a:gradFill>
              <a:ln w="19050">
                <a:noFill/>
              </a:ln>
              <a:effectLst/>
            </c:spPr>
            <c:extLst>
              <c:ext xmlns:c16="http://schemas.microsoft.com/office/drawing/2014/chart" uri="{C3380CC4-5D6E-409C-BE32-E72D297353CC}">
                <c16:uniqueId val="{00000003-E6E6-4CDF-BE01-0C507D6924BD}"/>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E6E6-4CDF-BE01-0C507D6924BD}"/>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596900</xdr:colOff>
      <xdr:row>1</xdr:row>
      <xdr:rowOff>139700</xdr:rowOff>
    </xdr:from>
    <xdr:to>
      <xdr:col>7</xdr:col>
      <xdr:colOff>444500</xdr:colOff>
      <xdr:row>15</xdr:row>
      <xdr:rowOff>98419</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694A6A12-461D-DBCA-98AC-70F4CE30CFA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943350" y="3365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508000</xdr:colOff>
      <xdr:row>2</xdr:row>
      <xdr:rowOff>114300</xdr:rowOff>
    </xdr:from>
    <xdr:to>
      <xdr:col>10</xdr:col>
      <xdr:colOff>355600</xdr:colOff>
      <xdr:row>16</xdr:row>
      <xdr:rowOff>73019</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9EEFF06D-6E33-148E-434A-816C091D07B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835650" y="5080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228600</xdr:colOff>
      <xdr:row>5</xdr:row>
      <xdr:rowOff>133350</xdr:rowOff>
    </xdr:from>
    <xdr:to>
      <xdr:col>8</xdr:col>
      <xdr:colOff>279400</xdr:colOff>
      <xdr:row>16</xdr:row>
      <xdr:rowOff>38100</xdr:rowOff>
    </xdr:to>
    <xdr:graphicFrame macro="">
      <xdr:nvGraphicFramePr>
        <xdr:cNvPr id="4" name="Chart 3">
          <a:extLst>
            <a:ext uri="{FF2B5EF4-FFF2-40B4-BE49-F238E27FC236}">
              <a16:creationId xmlns:a16="http://schemas.microsoft.com/office/drawing/2014/main" id="{0CE3F419-0C32-A21B-6886-E9984B796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190500</xdr:colOff>
      <xdr:row>2</xdr:row>
      <xdr:rowOff>19051</xdr:rowOff>
    </xdr:from>
    <xdr:to>
      <xdr:col>9</xdr:col>
      <xdr:colOff>38100</xdr:colOff>
      <xdr:row>9</xdr:row>
      <xdr:rowOff>69851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3C9B20F-63FC-4F05-B13C-F71D9E2937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245100" y="41275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501650</xdr:colOff>
      <xdr:row>12</xdr:row>
      <xdr:rowOff>133350</xdr:rowOff>
    </xdr:from>
    <xdr:to>
      <xdr:col>4</xdr:col>
      <xdr:colOff>558800</xdr:colOff>
      <xdr:row>16</xdr:row>
      <xdr:rowOff>38100</xdr:rowOff>
    </xdr:to>
    <xdr:graphicFrame macro="">
      <xdr:nvGraphicFramePr>
        <xdr:cNvPr id="4" name="Chart 3">
          <a:extLst>
            <a:ext uri="{FF2B5EF4-FFF2-40B4-BE49-F238E27FC236}">
              <a16:creationId xmlns:a16="http://schemas.microsoft.com/office/drawing/2014/main" id="{836EC230-E140-8E67-29F2-66BBCBCE0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19</xdr:row>
      <xdr:rowOff>139700</xdr:rowOff>
    </xdr:from>
    <xdr:to>
      <xdr:col>8</xdr:col>
      <xdr:colOff>31750</xdr:colOff>
      <xdr:row>22</xdr:row>
      <xdr:rowOff>50800</xdr:rowOff>
    </xdr:to>
    <xdr:graphicFrame macro="">
      <xdr:nvGraphicFramePr>
        <xdr:cNvPr id="5" name="Chart 4">
          <a:extLst>
            <a:ext uri="{FF2B5EF4-FFF2-40B4-BE49-F238E27FC236}">
              <a16:creationId xmlns:a16="http://schemas.microsoft.com/office/drawing/2014/main" id="{BB6AC415-5710-6F03-99A3-25A580C85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31750</xdr:colOff>
      <xdr:row>2</xdr:row>
      <xdr:rowOff>0</xdr:rowOff>
    </xdr:from>
    <xdr:to>
      <xdr:col>14</xdr:col>
      <xdr:colOff>539750</xdr:colOff>
      <xdr:row>15</xdr:row>
      <xdr:rowOff>155569</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FE39D2CD-275E-F048-48BF-03A77168BFF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048750" y="3937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260350</xdr:colOff>
      <xdr:row>1</xdr:row>
      <xdr:rowOff>171451</xdr:rowOff>
    </xdr:from>
    <xdr:to>
      <xdr:col>8</xdr:col>
      <xdr:colOff>107950</xdr:colOff>
      <xdr:row>7</xdr:row>
      <xdr:rowOff>152401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8DE5B4B-372B-835F-2755-82C63F9807D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51650" y="3683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53457" y="316593"/>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238126</xdr:colOff>
      <xdr:row>7</xdr:row>
      <xdr:rowOff>45357</xdr:rowOff>
    </xdr:from>
    <xdr:to>
      <xdr:col>6</xdr:col>
      <xdr:colOff>294822</xdr:colOff>
      <xdr:row>10</xdr:row>
      <xdr:rowOff>0</xdr:rowOff>
    </xdr:to>
    <xdr:sp macro="" textlink="">
      <xdr:nvSpPr>
        <xdr:cNvPr id="29" name="TextBox 28">
          <a:extLst>
            <a:ext uri="{FF2B5EF4-FFF2-40B4-BE49-F238E27FC236}">
              <a16:creationId xmlns:a16="http://schemas.microsoft.com/office/drawing/2014/main" id="{DEF3697D-F9AB-657E-6E55-82FFE672100B}"/>
            </a:ext>
          </a:extLst>
        </xdr:cNvPr>
        <xdr:cNvSpPr txBox="1"/>
      </xdr:nvSpPr>
      <xdr:spPr>
        <a:xfrm>
          <a:off x="1553483" y="1394732"/>
          <a:ext cx="2687410" cy="53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u="none" baseline="0">
              <a:solidFill>
                <a:srgbClr val="602928"/>
              </a:solidFill>
              <a:latin typeface="Berlin Sans FB Demi" panose="020E0802020502020306" pitchFamily="34" charset="0"/>
              <a:ea typeface="+mn-ea"/>
              <a:cs typeface="+mn-cs"/>
            </a:rPr>
            <a:t>TOTAL</a:t>
          </a:r>
          <a:r>
            <a:rPr lang="en-IN" sz="1800" u="none" baseline="0">
              <a:solidFill>
                <a:schemeClr val="dk1"/>
              </a:solidFill>
              <a:latin typeface="Berlin Sans FB Demi" panose="020E0802020502020306" pitchFamily="34" charset="0"/>
              <a:ea typeface="+mn-ea"/>
              <a:cs typeface="+mn-cs"/>
            </a:rPr>
            <a:t> </a:t>
          </a:r>
          <a:r>
            <a:rPr lang="en-IN" sz="1800" u="none" baseline="0">
              <a:solidFill>
                <a:srgbClr val="602928"/>
              </a:solidFill>
              <a:latin typeface="Berlin Sans FB Demi" panose="020E0802020502020306" pitchFamily="34" charset="0"/>
            </a:rPr>
            <a:t>EMPLOYEES</a:t>
          </a:r>
          <a:endParaRPr lang="en-IN" sz="1800" u="none">
            <a:solidFill>
              <a:srgbClr val="602928"/>
            </a:solidFill>
            <a:latin typeface="Berlin Sans FB Demi" panose="020E0802020502020306" pitchFamily="34" charset="0"/>
          </a:endParaRPr>
        </a:p>
      </xdr:txBody>
    </xdr:sp>
    <xdr:clientData/>
  </xdr:twoCellAnchor>
  <xdr:twoCellAnchor>
    <xdr:from>
      <xdr:col>3</xdr:col>
      <xdr:colOff>238126</xdr:colOff>
      <xdr:row>8</xdr:row>
      <xdr:rowOff>136070</xdr:rowOff>
    </xdr:from>
    <xdr:to>
      <xdr:col>6</xdr:col>
      <xdr:colOff>79377</xdr:colOff>
      <xdr:row>11</xdr:row>
      <xdr:rowOff>11339</xdr:rowOff>
    </xdr:to>
    <xdr:sp macro="" textlink="KPI!A7">
      <xdr:nvSpPr>
        <xdr:cNvPr id="30" name="TextBox 29">
          <a:extLst>
            <a:ext uri="{FF2B5EF4-FFF2-40B4-BE49-F238E27FC236}">
              <a16:creationId xmlns:a16="http://schemas.microsoft.com/office/drawing/2014/main" id="{01E4804C-0E27-49C8-9058-74F09035F2A8}"/>
            </a:ext>
          </a:extLst>
        </xdr:cNvPr>
        <xdr:cNvSpPr txBox="1"/>
      </xdr:nvSpPr>
      <xdr:spPr>
        <a:xfrm>
          <a:off x="2211162" y="1678213"/>
          <a:ext cx="18142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DE1D2E-93D5-45AE-960B-2DBC3327CF7A}" type="TxLink">
            <a:rPr lang="en-US" sz="3200" b="0" i="0" u="none" strike="noStrike">
              <a:solidFill>
                <a:srgbClr val="002060"/>
              </a:solidFill>
              <a:latin typeface="Berlin Sans FB Demi" panose="020E0802020502020306" pitchFamily="34" charset="0"/>
              <a:ea typeface="Calibri"/>
              <a:cs typeface="Calibri"/>
            </a:rPr>
            <a:pPr/>
            <a:t>1470</a:t>
          </a:fld>
          <a:endParaRPr lang="en-IN" sz="2800">
            <a:solidFill>
              <a:srgbClr val="002060"/>
            </a:solidFill>
            <a:latin typeface="Berlin Sans FB Demi" panose="020E0802020502020306" pitchFamily="34" charset="0"/>
          </a:endParaRPr>
        </a:p>
      </xdr:txBody>
    </xdr:sp>
    <xdr:clientData/>
  </xdr:twoCellAnchor>
  <xdr:twoCellAnchor>
    <xdr:from>
      <xdr:col>6</xdr:col>
      <xdr:colOff>95706</xdr:colOff>
      <xdr:row>7</xdr:row>
      <xdr:rowOff>27668</xdr:rowOff>
    </xdr:from>
    <xdr:to>
      <xdr:col>10</xdr:col>
      <xdr:colOff>152401</xdr:colOff>
      <xdr:row>9</xdr:row>
      <xdr:rowOff>175079</xdr:rowOff>
    </xdr:to>
    <xdr:sp macro="" textlink="">
      <xdr:nvSpPr>
        <xdr:cNvPr id="60" name="TextBox 59">
          <a:extLst>
            <a:ext uri="{FF2B5EF4-FFF2-40B4-BE49-F238E27FC236}">
              <a16:creationId xmlns:a16="http://schemas.microsoft.com/office/drawing/2014/main" id="{B196ACDB-8420-485E-8726-207656782B94}"/>
            </a:ext>
          </a:extLst>
        </xdr:cNvPr>
        <xdr:cNvSpPr txBox="1"/>
      </xdr:nvSpPr>
      <xdr:spPr>
        <a:xfrm>
          <a:off x="4041777" y="1377043"/>
          <a:ext cx="2687410" cy="53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rgbClr val="602928"/>
              </a:solidFill>
              <a:latin typeface="Berlin Sans FB Demi" panose="020E0802020502020306" pitchFamily="34" charset="0"/>
              <a:ea typeface="+mn-ea"/>
              <a:cs typeface="+mn-cs"/>
            </a:rPr>
            <a:t>ATTRITION</a:t>
          </a:r>
          <a:endParaRPr lang="en-IN" sz="1800">
            <a:solidFill>
              <a:srgbClr val="602928"/>
            </a:solidFill>
            <a:latin typeface="Berlin Sans FB Demi" panose="020E0802020502020306" pitchFamily="34" charset="0"/>
          </a:endParaRPr>
        </a:p>
      </xdr:txBody>
    </xdr:sp>
    <xdr:clientData/>
  </xdr:twoCellAnchor>
  <xdr:twoCellAnchor>
    <xdr:from>
      <xdr:col>7</xdr:col>
      <xdr:colOff>481241</xdr:colOff>
      <xdr:row>8</xdr:row>
      <xdr:rowOff>129721</xdr:rowOff>
    </xdr:from>
    <xdr:to>
      <xdr:col>10</xdr:col>
      <xdr:colOff>322491</xdr:colOff>
      <xdr:row>11</xdr:row>
      <xdr:rowOff>4990</xdr:rowOff>
    </xdr:to>
    <xdr:sp macro="" textlink="KPI!B7">
      <xdr:nvSpPr>
        <xdr:cNvPr id="61" name="TextBox 60">
          <a:extLst>
            <a:ext uri="{FF2B5EF4-FFF2-40B4-BE49-F238E27FC236}">
              <a16:creationId xmlns:a16="http://schemas.microsoft.com/office/drawing/2014/main" id="{90EF7239-FEC6-4D8C-8C67-E93DB1112DB0}"/>
            </a:ext>
          </a:extLst>
        </xdr:cNvPr>
        <xdr:cNvSpPr txBox="1"/>
      </xdr:nvSpPr>
      <xdr:spPr>
        <a:xfrm>
          <a:off x="5084991" y="1671864"/>
          <a:ext cx="18142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4B623D-8170-46B8-BBAA-31AD78FFEFF4}" type="TxLink">
            <a:rPr lang="en-US" sz="3200" b="0" i="0" u="none" strike="noStrike">
              <a:solidFill>
                <a:srgbClr val="002060"/>
              </a:solidFill>
              <a:latin typeface="Berlin Sans FB Demi" panose="020E0802020502020306" pitchFamily="34" charset="0"/>
              <a:ea typeface="Calibri"/>
              <a:cs typeface="Calibri"/>
            </a:rPr>
            <a:pPr marL="0" indent="0"/>
            <a:t>237</a:t>
          </a:fld>
          <a:endParaRPr lang="en-IN" sz="32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11</xdr:col>
      <xdr:colOff>117476</xdr:colOff>
      <xdr:row>6</xdr:row>
      <xdr:rowOff>180522</xdr:rowOff>
    </xdr:from>
    <xdr:to>
      <xdr:col>15</xdr:col>
      <xdr:colOff>174171</xdr:colOff>
      <xdr:row>9</xdr:row>
      <xdr:rowOff>135165</xdr:rowOff>
    </xdr:to>
    <xdr:sp macro="" textlink="">
      <xdr:nvSpPr>
        <xdr:cNvPr id="62" name="TextBox 61">
          <a:extLst>
            <a:ext uri="{FF2B5EF4-FFF2-40B4-BE49-F238E27FC236}">
              <a16:creationId xmlns:a16="http://schemas.microsoft.com/office/drawing/2014/main" id="{A7C9A813-A2E6-4259-81B8-CE409B4CB0B4}"/>
            </a:ext>
          </a:extLst>
        </xdr:cNvPr>
        <xdr:cNvSpPr txBox="1"/>
      </xdr:nvSpPr>
      <xdr:spPr>
        <a:xfrm>
          <a:off x="7351940" y="1337129"/>
          <a:ext cx="2687410" cy="53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aseline="0">
              <a:solidFill>
                <a:srgbClr val="602928"/>
              </a:solidFill>
              <a:latin typeface="Berlin Sans FB Demi" panose="020E0802020502020306" pitchFamily="34" charset="0"/>
              <a:ea typeface="+mn-ea"/>
              <a:cs typeface="+mn-cs"/>
            </a:rPr>
            <a:t>ACTIVE EMPLOYEES</a:t>
          </a:r>
          <a:endParaRPr lang="en-IN" sz="1800">
            <a:solidFill>
              <a:srgbClr val="602928"/>
            </a:solidFill>
            <a:latin typeface="Berlin Sans FB Demi" panose="020E0802020502020306" pitchFamily="34" charset="0"/>
          </a:endParaRPr>
        </a:p>
      </xdr:txBody>
    </xdr:sp>
    <xdr:clientData/>
  </xdr:twoCellAnchor>
  <xdr:twoCellAnchor>
    <xdr:from>
      <xdr:col>12</xdr:col>
      <xdr:colOff>208190</xdr:colOff>
      <xdr:row>8</xdr:row>
      <xdr:rowOff>78467</xdr:rowOff>
    </xdr:from>
    <xdr:to>
      <xdr:col>15</xdr:col>
      <xdr:colOff>49440</xdr:colOff>
      <xdr:row>10</xdr:row>
      <xdr:rowOff>146503</xdr:rowOff>
    </xdr:to>
    <xdr:sp macro="" textlink="KPI!D7">
      <xdr:nvSpPr>
        <xdr:cNvPr id="63" name="TextBox 62">
          <a:extLst>
            <a:ext uri="{FF2B5EF4-FFF2-40B4-BE49-F238E27FC236}">
              <a16:creationId xmlns:a16="http://schemas.microsoft.com/office/drawing/2014/main" id="{96B5E34F-6DD7-4CFB-81B5-E61E0910A9A0}"/>
            </a:ext>
          </a:extLst>
        </xdr:cNvPr>
        <xdr:cNvSpPr txBox="1"/>
      </xdr:nvSpPr>
      <xdr:spPr>
        <a:xfrm>
          <a:off x="8100333" y="1620610"/>
          <a:ext cx="18142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D28DAC-275E-412E-A223-9102A27C6A35}" type="TxLink">
            <a:rPr lang="en-US" sz="3200" b="0" i="0" u="none" strike="noStrike">
              <a:solidFill>
                <a:srgbClr val="002060"/>
              </a:solidFill>
              <a:latin typeface="Berlin Sans FB Demi" panose="020E0802020502020306" pitchFamily="34" charset="0"/>
              <a:ea typeface="Calibri"/>
              <a:cs typeface="Calibri"/>
            </a:rPr>
            <a:pPr marL="0" indent="0"/>
            <a:t>1233</a:t>
          </a:fld>
          <a:endParaRPr lang="en-IN" sz="32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15</xdr:col>
      <xdr:colOff>525688</xdr:colOff>
      <xdr:row>6</xdr:row>
      <xdr:rowOff>191861</xdr:rowOff>
    </xdr:from>
    <xdr:to>
      <xdr:col>19</xdr:col>
      <xdr:colOff>582384</xdr:colOff>
      <xdr:row>9</xdr:row>
      <xdr:rowOff>146504</xdr:rowOff>
    </xdr:to>
    <xdr:sp macro="" textlink="">
      <xdr:nvSpPr>
        <xdr:cNvPr id="64" name="TextBox 63">
          <a:extLst>
            <a:ext uri="{FF2B5EF4-FFF2-40B4-BE49-F238E27FC236}">
              <a16:creationId xmlns:a16="http://schemas.microsoft.com/office/drawing/2014/main" id="{E88B13ED-3DD3-4A87-B43D-D45B25C5C2B0}"/>
            </a:ext>
          </a:extLst>
        </xdr:cNvPr>
        <xdr:cNvSpPr txBox="1"/>
      </xdr:nvSpPr>
      <xdr:spPr>
        <a:xfrm>
          <a:off x="10390867" y="1348468"/>
          <a:ext cx="2687410" cy="53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aseline="0">
              <a:solidFill>
                <a:srgbClr val="602928"/>
              </a:solidFill>
              <a:latin typeface="Berlin Sans FB Demi" panose="020E0802020502020306" pitchFamily="34" charset="0"/>
              <a:ea typeface="+mn-ea"/>
              <a:cs typeface="+mn-cs"/>
            </a:rPr>
            <a:t>ATTRITION RATE</a:t>
          </a:r>
          <a:endParaRPr lang="en-IN" sz="1800">
            <a:solidFill>
              <a:srgbClr val="602928"/>
            </a:solidFill>
            <a:latin typeface="Berlin Sans FB Demi" panose="020E0802020502020306" pitchFamily="34" charset="0"/>
          </a:endParaRPr>
        </a:p>
      </xdr:txBody>
    </xdr:sp>
    <xdr:clientData/>
  </xdr:twoCellAnchor>
  <xdr:twoCellAnchor>
    <xdr:from>
      <xdr:col>16</xdr:col>
      <xdr:colOff>525689</xdr:colOff>
      <xdr:row>8</xdr:row>
      <xdr:rowOff>89806</xdr:rowOff>
    </xdr:from>
    <xdr:to>
      <xdr:col>19</xdr:col>
      <xdr:colOff>366939</xdr:colOff>
      <xdr:row>10</xdr:row>
      <xdr:rowOff>157842</xdr:rowOff>
    </xdr:to>
    <xdr:sp macro="" textlink="KPI!E7">
      <xdr:nvSpPr>
        <xdr:cNvPr id="65" name="TextBox 64">
          <a:extLst>
            <a:ext uri="{FF2B5EF4-FFF2-40B4-BE49-F238E27FC236}">
              <a16:creationId xmlns:a16="http://schemas.microsoft.com/office/drawing/2014/main" id="{47460224-DB6B-4C65-8874-CCD4A9EF34CB}"/>
            </a:ext>
          </a:extLst>
        </xdr:cNvPr>
        <xdr:cNvSpPr txBox="1"/>
      </xdr:nvSpPr>
      <xdr:spPr>
        <a:xfrm>
          <a:off x="11048546" y="1631949"/>
          <a:ext cx="18142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F71F79-7065-4246-B156-7AF2AAA7C0AA}" type="TxLink">
            <a:rPr lang="en-US" sz="3200" b="0" i="0" u="none" strike="noStrike">
              <a:solidFill>
                <a:srgbClr val="002060"/>
              </a:solidFill>
              <a:latin typeface="Berlin Sans FB Demi" panose="020E0802020502020306" pitchFamily="34" charset="0"/>
              <a:ea typeface="Calibri"/>
              <a:cs typeface="Calibri"/>
            </a:rPr>
            <a:pPr marL="0" indent="0"/>
            <a:t>16.12%</a:t>
          </a:fld>
          <a:endParaRPr lang="en-IN" sz="3200" b="0" i="0" u="none" strike="noStrike">
            <a:solidFill>
              <a:srgbClr val="002060"/>
            </a:solidFill>
            <a:latin typeface="Berlin Sans FB Demi" panose="020E0802020502020306" pitchFamily="34" charset="0"/>
            <a:ea typeface="Calibri"/>
            <a:cs typeface="Calibri"/>
          </a:endParaRPr>
        </a:p>
      </xdr:txBody>
    </xdr:sp>
    <xdr:clientData/>
  </xdr:twoCellAnchor>
  <xdr:twoCellAnchor>
    <xdr:from>
      <xdr:col>19</xdr:col>
      <xdr:colOff>423636</xdr:colOff>
      <xdr:row>6</xdr:row>
      <xdr:rowOff>180521</xdr:rowOff>
    </xdr:from>
    <xdr:to>
      <xdr:col>23</xdr:col>
      <xdr:colOff>480332</xdr:colOff>
      <xdr:row>9</xdr:row>
      <xdr:rowOff>135164</xdr:rowOff>
    </xdr:to>
    <xdr:sp macro="" textlink="">
      <xdr:nvSpPr>
        <xdr:cNvPr id="66" name="TextBox 65">
          <a:extLst>
            <a:ext uri="{FF2B5EF4-FFF2-40B4-BE49-F238E27FC236}">
              <a16:creationId xmlns:a16="http://schemas.microsoft.com/office/drawing/2014/main" id="{F0C33741-11F9-46A2-A89E-1301005779D0}"/>
            </a:ext>
          </a:extLst>
        </xdr:cNvPr>
        <xdr:cNvSpPr txBox="1"/>
      </xdr:nvSpPr>
      <xdr:spPr>
        <a:xfrm>
          <a:off x="12919529" y="1337128"/>
          <a:ext cx="2687410" cy="53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rgbClr val="602928"/>
              </a:solidFill>
              <a:latin typeface="Berlin Sans FB Demi" panose="020E0802020502020306" pitchFamily="34" charset="0"/>
              <a:ea typeface="+mn-ea"/>
              <a:cs typeface="+mn-cs"/>
            </a:rPr>
            <a:t>AVERAGE AGE</a:t>
          </a:r>
          <a:endParaRPr lang="en-IN" sz="1800">
            <a:solidFill>
              <a:srgbClr val="602928"/>
            </a:solidFill>
            <a:latin typeface="Berlin Sans FB Demi" panose="020E0802020502020306" pitchFamily="34" charset="0"/>
          </a:endParaRPr>
        </a:p>
      </xdr:txBody>
    </xdr:sp>
    <xdr:clientData/>
  </xdr:twoCellAnchor>
  <xdr:twoCellAnchor>
    <xdr:from>
      <xdr:col>21</xdr:col>
      <xdr:colOff>72118</xdr:colOff>
      <xdr:row>8</xdr:row>
      <xdr:rowOff>78466</xdr:rowOff>
    </xdr:from>
    <xdr:to>
      <xdr:col>23</xdr:col>
      <xdr:colOff>571047</xdr:colOff>
      <xdr:row>10</xdr:row>
      <xdr:rowOff>146502</xdr:rowOff>
    </xdr:to>
    <xdr:sp macro="" textlink="KPI!C7">
      <xdr:nvSpPr>
        <xdr:cNvPr id="67" name="TextBox 66">
          <a:extLst>
            <a:ext uri="{FF2B5EF4-FFF2-40B4-BE49-F238E27FC236}">
              <a16:creationId xmlns:a16="http://schemas.microsoft.com/office/drawing/2014/main" id="{00C456C7-8DC9-4D13-AD57-AD81F71A5DB0}"/>
            </a:ext>
          </a:extLst>
        </xdr:cNvPr>
        <xdr:cNvSpPr txBox="1"/>
      </xdr:nvSpPr>
      <xdr:spPr>
        <a:xfrm>
          <a:off x="13883368" y="1620609"/>
          <a:ext cx="1814286"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189F8E-7E83-46A1-AA71-7630AD319CC8}" type="TxLink">
            <a:rPr lang="en-US" sz="3200" b="0" i="0" u="none" strike="noStrike">
              <a:solidFill>
                <a:srgbClr val="002060"/>
              </a:solidFill>
              <a:latin typeface="Berlin Sans FB Demi" panose="020E0802020502020306" pitchFamily="34" charset="0"/>
              <a:ea typeface="Calibri"/>
              <a:cs typeface="Calibri"/>
            </a:rPr>
            <a:pPr marL="0" indent="0"/>
            <a:t>37</a:t>
          </a:fld>
          <a:endParaRPr lang="en-IN" sz="3200" b="0" i="0" u="none" strike="noStrike">
            <a:solidFill>
              <a:srgbClr val="002060"/>
            </a:solidFill>
            <a:latin typeface="Berlin Sans FB Demi" panose="020E0802020502020306" pitchFamily="34" charset="0"/>
            <a:ea typeface="Calibri"/>
            <a:cs typeface="Calibri"/>
          </a:endParaRPr>
        </a:p>
      </xdr:txBody>
    </xdr:sp>
    <xdr:clientData/>
  </xdr:twoCellAnchor>
  <xdr:oneCellAnchor>
    <xdr:from>
      <xdr:col>5</xdr:col>
      <xdr:colOff>510268</xdr:colOff>
      <xdr:row>7</xdr:row>
      <xdr:rowOff>68036</xdr:rowOff>
    </xdr:from>
    <xdr:ext cx="333375" cy="314325"/>
    <xdr:pic>
      <xdr:nvPicPr>
        <xdr:cNvPr id="68" name="image4.png">
          <a:extLst>
            <a:ext uri="{FF2B5EF4-FFF2-40B4-BE49-F238E27FC236}">
              <a16:creationId xmlns:a16="http://schemas.microsoft.com/office/drawing/2014/main" id="{0E551100-D922-4672-BA50-5231E9EB9ECA}"/>
            </a:ext>
          </a:extLst>
        </xdr:cNvPr>
        <xdr:cNvPicPr preferRelativeResize="0"/>
      </xdr:nvPicPr>
      <xdr:blipFill>
        <a:blip xmlns:r="http://schemas.openxmlformats.org/officeDocument/2006/relationships" r:embed="rId1" cstate="print"/>
        <a:stretch>
          <a:fillRect/>
        </a:stretch>
      </xdr:blipFill>
      <xdr:spPr>
        <a:xfrm>
          <a:off x="3798661" y="1417411"/>
          <a:ext cx="333375" cy="314325"/>
        </a:xfrm>
        <a:prstGeom prst="rect">
          <a:avLst/>
        </a:prstGeom>
        <a:noFill/>
      </xdr:spPr>
    </xdr:pic>
    <xdr:clientData fLocksWithSheet="0"/>
  </xdr:oneCellAnchor>
  <xdr:oneCellAnchor>
    <xdr:from>
      <xdr:col>14</xdr:col>
      <xdr:colOff>487588</xdr:colOff>
      <xdr:row>7</xdr:row>
      <xdr:rowOff>33110</xdr:rowOff>
    </xdr:from>
    <xdr:ext cx="351519" cy="318408"/>
    <xdr:pic>
      <xdr:nvPicPr>
        <xdr:cNvPr id="69" name="image5.png">
          <a:extLst>
            <a:ext uri="{FF2B5EF4-FFF2-40B4-BE49-F238E27FC236}">
              <a16:creationId xmlns:a16="http://schemas.microsoft.com/office/drawing/2014/main" id="{4E1AA932-615B-4E12-A420-98C09FFD8650}"/>
            </a:ext>
          </a:extLst>
        </xdr:cNvPr>
        <xdr:cNvPicPr preferRelativeResize="0"/>
      </xdr:nvPicPr>
      <xdr:blipFill>
        <a:blip xmlns:r="http://schemas.openxmlformats.org/officeDocument/2006/relationships" r:embed="rId2" cstate="print"/>
        <a:stretch>
          <a:fillRect/>
        </a:stretch>
      </xdr:blipFill>
      <xdr:spPr>
        <a:xfrm>
          <a:off x="9695088" y="1382485"/>
          <a:ext cx="351519" cy="318408"/>
        </a:xfrm>
        <a:prstGeom prst="rect">
          <a:avLst/>
        </a:prstGeom>
        <a:noFill/>
      </xdr:spPr>
    </xdr:pic>
    <xdr:clientData fLocksWithSheet="0"/>
  </xdr:oneCellAnchor>
  <xdr:oneCellAnchor>
    <xdr:from>
      <xdr:col>9</xdr:col>
      <xdr:colOff>650422</xdr:colOff>
      <xdr:row>7</xdr:row>
      <xdr:rowOff>67128</xdr:rowOff>
    </xdr:from>
    <xdr:ext cx="390525" cy="314325"/>
    <xdr:pic>
      <xdr:nvPicPr>
        <xdr:cNvPr id="70" name="image2.png">
          <a:extLst>
            <a:ext uri="{FF2B5EF4-FFF2-40B4-BE49-F238E27FC236}">
              <a16:creationId xmlns:a16="http://schemas.microsoft.com/office/drawing/2014/main" id="{61D3629D-A98A-497D-8BAA-6C903E766A10}"/>
            </a:ext>
          </a:extLst>
        </xdr:cNvPr>
        <xdr:cNvPicPr preferRelativeResize="0"/>
      </xdr:nvPicPr>
      <xdr:blipFill>
        <a:blip xmlns:r="http://schemas.openxmlformats.org/officeDocument/2006/relationships" r:embed="rId3" cstate="print"/>
        <a:stretch>
          <a:fillRect/>
        </a:stretch>
      </xdr:blipFill>
      <xdr:spPr>
        <a:xfrm>
          <a:off x="6569529" y="1416503"/>
          <a:ext cx="390525" cy="314325"/>
        </a:xfrm>
        <a:prstGeom prst="rect">
          <a:avLst/>
        </a:prstGeom>
        <a:noFill/>
      </xdr:spPr>
    </xdr:pic>
    <xdr:clientData fLocksWithSheet="0"/>
  </xdr:oneCellAnchor>
  <xdr:oneCellAnchor>
    <xdr:from>
      <xdr:col>23</xdr:col>
      <xdr:colOff>423636</xdr:colOff>
      <xdr:row>7</xdr:row>
      <xdr:rowOff>21770</xdr:rowOff>
    </xdr:from>
    <xdr:ext cx="358775" cy="329747"/>
    <xdr:pic>
      <xdr:nvPicPr>
        <xdr:cNvPr id="71" name="image6.png">
          <a:extLst>
            <a:ext uri="{FF2B5EF4-FFF2-40B4-BE49-F238E27FC236}">
              <a16:creationId xmlns:a16="http://schemas.microsoft.com/office/drawing/2014/main" id="{B1037707-04B3-40C7-937B-0AADDCA7E778}"/>
            </a:ext>
          </a:extLst>
        </xdr:cNvPr>
        <xdr:cNvPicPr preferRelativeResize="0"/>
      </xdr:nvPicPr>
      <xdr:blipFill>
        <a:blip xmlns:r="http://schemas.openxmlformats.org/officeDocument/2006/relationships" r:embed="rId4" cstate="print"/>
        <a:stretch>
          <a:fillRect/>
        </a:stretch>
      </xdr:blipFill>
      <xdr:spPr>
        <a:xfrm>
          <a:off x="15550243" y="1371145"/>
          <a:ext cx="358775" cy="329747"/>
        </a:xfrm>
        <a:prstGeom prst="rect">
          <a:avLst/>
        </a:prstGeom>
        <a:noFill/>
      </xdr:spPr>
    </xdr:pic>
    <xdr:clientData fLocksWithSheet="0"/>
  </xdr:oneCellAnchor>
  <xdr:oneCellAnchor>
    <xdr:from>
      <xdr:col>19</xdr:col>
      <xdr:colOff>45356</xdr:colOff>
      <xdr:row>7</xdr:row>
      <xdr:rowOff>10433</xdr:rowOff>
    </xdr:from>
    <xdr:ext cx="410483" cy="318407"/>
    <xdr:pic>
      <xdr:nvPicPr>
        <xdr:cNvPr id="72" name="image7.png">
          <a:extLst>
            <a:ext uri="{FF2B5EF4-FFF2-40B4-BE49-F238E27FC236}">
              <a16:creationId xmlns:a16="http://schemas.microsoft.com/office/drawing/2014/main" id="{8A892913-0B66-413A-B731-0A7760755C5B}"/>
            </a:ext>
          </a:extLst>
        </xdr:cNvPr>
        <xdr:cNvPicPr preferRelativeResize="0"/>
      </xdr:nvPicPr>
      <xdr:blipFill>
        <a:blip xmlns:r="http://schemas.openxmlformats.org/officeDocument/2006/relationships" r:embed="rId5" cstate="print"/>
        <a:stretch>
          <a:fillRect/>
        </a:stretch>
      </xdr:blipFill>
      <xdr:spPr>
        <a:xfrm>
          <a:off x="12541249" y="1359808"/>
          <a:ext cx="410483" cy="318407"/>
        </a:xfrm>
        <a:prstGeom prst="rect">
          <a:avLst/>
        </a:prstGeom>
        <a:noFill/>
      </xdr:spPr>
    </xdr:pic>
    <xdr:clientData fLocksWithSheet="0"/>
  </xdr:oneCellAnchor>
  <xdr:twoCellAnchor>
    <xdr:from>
      <xdr:col>4</xdr:col>
      <xdr:colOff>204108</xdr:colOff>
      <xdr:row>2</xdr:row>
      <xdr:rowOff>56697</xdr:rowOff>
    </xdr:from>
    <xdr:to>
      <xdr:col>16</xdr:col>
      <xdr:colOff>192769</xdr:colOff>
      <xdr:row>5</xdr:row>
      <xdr:rowOff>136072</xdr:rowOff>
    </xdr:to>
    <xdr:sp macro="" textlink="">
      <xdr:nvSpPr>
        <xdr:cNvPr id="73" name="TextBox 72">
          <a:extLst>
            <a:ext uri="{FF2B5EF4-FFF2-40B4-BE49-F238E27FC236}">
              <a16:creationId xmlns:a16="http://schemas.microsoft.com/office/drawing/2014/main" id="{5C454ADF-F921-B740-315E-20077BB67FE7}"/>
            </a:ext>
          </a:extLst>
        </xdr:cNvPr>
        <xdr:cNvSpPr txBox="1"/>
      </xdr:nvSpPr>
      <xdr:spPr>
        <a:xfrm>
          <a:off x="2834822" y="442233"/>
          <a:ext cx="7880804" cy="65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rgbClr val="002060"/>
              </a:solidFill>
              <a:latin typeface="Berlin Sans FB Demi" panose="020E0802020502020306" pitchFamily="34" charset="0"/>
            </a:rPr>
            <a:t>HR ANALYTICS DASHBOARD</a:t>
          </a:r>
        </a:p>
      </xdr:txBody>
    </xdr:sp>
    <xdr:clientData/>
  </xdr:twoCellAnchor>
  <xdr:oneCellAnchor>
    <xdr:from>
      <xdr:col>2</xdr:col>
      <xdr:colOff>468993</xdr:colOff>
      <xdr:row>2</xdr:row>
      <xdr:rowOff>135164</xdr:rowOff>
    </xdr:from>
    <xdr:ext cx="710293" cy="579210"/>
    <xdr:pic>
      <xdr:nvPicPr>
        <xdr:cNvPr id="74" name="image1.png">
          <a:extLst>
            <a:ext uri="{FF2B5EF4-FFF2-40B4-BE49-F238E27FC236}">
              <a16:creationId xmlns:a16="http://schemas.microsoft.com/office/drawing/2014/main" id="{125F671C-AC4A-42A6-A1B9-0394A16A5C19}"/>
            </a:ext>
          </a:extLst>
        </xdr:cNvPr>
        <xdr:cNvPicPr preferRelativeResize="0"/>
      </xdr:nvPicPr>
      <xdr:blipFill>
        <a:blip xmlns:r="http://schemas.openxmlformats.org/officeDocument/2006/relationships" r:embed="rId6" cstate="print"/>
        <a:stretch>
          <a:fillRect/>
        </a:stretch>
      </xdr:blipFill>
      <xdr:spPr>
        <a:xfrm>
          <a:off x="1784350" y="520700"/>
          <a:ext cx="710293" cy="579210"/>
        </a:xfrm>
        <a:prstGeom prst="rect">
          <a:avLst/>
        </a:prstGeom>
        <a:noFill/>
      </xdr:spPr>
    </xdr:pic>
    <xdr:clientData fLocksWithSheet="0"/>
  </xdr:oneCellAnchor>
  <xdr:oneCellAnchor>
    <xdr:from>
      <xdr:col>15</xdr:col>
      <xdr:colOff>332920</xdr:colOff>
      <xdr:row>2</xdr:row>
      <xdr:rowOff>78468</xdr:rowOff>
    </xdr:from>
    <xdr:ext cx="723900" cy="628650"/>
    <xdr:pic>
      <xdr:nvPicPr>
        <xdr:cNvPr id="75" name="image3.png">
          <a:extLst>
            <a:ext uri="{FF2B5EF4-FFF2-40B4-BE49-F238E27FC236}">
              <a16:creationId xmlns:a16="http://schemas.microsoft.com/office/drawing/2014/main" id="{6E5C214D-146E-404F-B482-7EB0A8AF133C}"/>
            </a:ext>
          </a:extLst>
        </xdr:cNvPr>
        <xdr:cNvPicPr preferRelativeResize="0"/>
      </xdr:nvPicPr>
      <xdr:blipFill>
        <a:blip xmlns:r="http://schemas.openxmlformats.org/officeDocument/2006/relationships" r:embed="rId7" cstate="print"/>
        <a:stretch>
          <a:fillRect/>
        </a:stretch>
      </xdr:blipFill>
      <xdr:spPr>
        <a:xfrm>
          <a:off x="10198099" y="464004"/>
          <a:ext cx="723900" cy="628650"/>
        </a:xfrm>
        <a:prstGeom prst="rect">
          <a:avLst/>
        </a:prstGeom>
        <a:noFill/>
      </xdr:spPr>
    </xdr:pic>
    <xdr:clientData fLocksWithSheet="0"/>
  </xdr:oneCellAnchor>
  <xdr:twoCellAnchor>
    <xdr:from>
      <xdr:col>16</xdr:col>
      <xdr:colOff>272142</xdr:colOff>
      <xdr:row>2</xdr:row>
      <xdr:rowOff>11339</xdr:rowOff>
    </xdr:from>
    <xdr:to>
      <xdr:col>19</xdr:col>
      <xdr:colOff>170089</xdr:colOff>
      <xdr:row>6</xdr:row>
      <xdr:rowOff>181429</xdr:rowOff>
    </xdr:to>
    <xdr:sp macro="" textlink="">
      <xdr:nvSpPr>
        <xdr:cNvPr id="76" name="TextBox 75">
          <a:extLst>
            <a:ext uri="{FF2B5EF4-FFF2-40B4-BE49-F238E27FC236}">
              <a16:creationId xmlns:a16="http://schemas.microsoft.com/office/drawing/2014/main" id="{B9BA6656-6889-8500-4E8C-12649D175CC4}"/>
            </a:ext>
          </a:extLst>
        </xdr:cNvPr>
        <xdr:cNvSpPr txBox="1"/>
      </xdr:nvSpPr>
      <xdr:spPr>
        <a:xfrm>
          <a:off x="10794999" y="396875"/>
          <a:ext cx="1870983" cy="941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aseline="0">
              <a:solidFill>
                <a:srgbClr val="602928"/>
              </a:solidFill>
              <a:latin typeface="Berlin Sans FB Demi" panose="020E0802020502020306" pitchFamily="34" charset="0"/>
              <a:ea typeface="+mn-ea"/>
              <a:cs typeface="+mn-cs"/>
            </a:rPr>
            <a:t>JOB SATISFACTION RATING</a:t>
          </a:r>
        </a:p>
      </xdr:txBody>
    </xdr:sp>
    <xdr:clientData/>
  </xdr:twoCellAnchor>
  <xdr:twoCellAnchor>
    <xdr:from>
      <xdr:col>18</xdr:col>
      <xdr:colOff>555627</xdr:colOff>
      <xdr:row>1</xdr:row>
      <xdr:rowOff>124731</xdr:rowOff>
    </xdr:from>
    <xdr:to>
      <xdr:col>20</xdr:col>
      <xdr:colOff>192769</xdr:colOff>
      <xdr:row>6</xdr:row>
      <xdr:rowOff>113392</xdr:rowOff>
    </xdr:to>
    <xdr:graphicFrame macro="">
      <xdr:nvGraphicFramePr>
        <xdr:cNvPr id="81" name="Chart 80">
          <a:extLst>
            <a:ext uri="{FF2B5EF4-FFF2-40B4-BE49-F238E27FC236}">
              <a16:creationId xmlns:a16="http://schemas.microsoft.com/office/drawing/2014/main" id="{75FD0376-4A5C-4278-AD74-3FBC61AE3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158750</xdr:colOff>
      <xdr:row>3</xdr:row>
      <xdr:rowOff>56696</xdr:rowOff>
    </xdr:from>
    <xdr:to>
      <xdr:col>19</xdr:col>
      <xdr:colOff>635000</xdr:colOff>
      <xdr:row>4</xdr:row>
      <xdr:rowOff>113393</xdr:rowOff>
    </xdr:to>
    <xdr:sp macro="" textlink="Rating!B6">
      <xdr:nvSpPr>
        <xdr:cNvPr id="83" name="TextBox 82">
          <a:extLst>
            <a:ext uri="{FF2B5EF4-FFF2-40B4-BE49-F238E27FC236}">
              <a16:creationId xmlns:a16="http://schemas.microsoft.com/office/drawing/2014/main" id="{3C2F300E-C141-508B-7E5C-4D564944DE43}"/>
            </a:ext>
          </a:extLst>
        </xdr:cNvPr>
        <xdr:cNvSpPr txBox="1"/>
      </xdr:nvSpPr>
      <xdr:spPr>
        <a:xfrm>
          <a:off x="12654643" y="635000"/>
          <a:ext cx="476250"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AF1B84-2D55-4B88-9B3A-6AEA5055A34F}" type="TxLink">
            <a:rPr lang="en-US" sz="1400" b="0" i="0" u="none" strike="noStrike">
              <a:solidFill>
                <a:srgbClr val="002060"/>
              </a:solidFill>
              <a:latin typeface="Berlin Sans FB Demi" panose="020E0802020502020306" pitchFamily="34" charset="0"/>
              <a:ea typeface="Calibri"/>
              <a:cs typeface="Calibri"/>
            </a:rPr>
            <a:pPr/>
            <a:t>2.6</a:t>
          </a:fld>
          <a:endParaRPr lang="en-IN" sz="1200">
            <a:solidFill>
              <a:srgbClr val="002060"/>
            </a:solidFill>
            <a:latin typeface="Berlin Sans FB Demi" panose="020E0802020502020306" pitchFamily="34" charset="0"/>
          </a:endParaRPr>
        </a:p>
      </xdr:txBody>
    </xdr:sp>
    <xdr:clientData/>
  </xdr:twoCellAnchor>
  <xdr:twoCellAnchor>
    <xdr:from>
      <xdr:col>20</xdr:col>
      <xdr:colOff>317501</xdr:colOff>
      <xdr:row>2</xdr:row>
      <xdr:rowOff>113395</xdr:rowOff>
    </xdr:from>
    <xdr:to>
      <xdr:col>24</xdr:col>
      <xdr:colOff>170090</xdr:colOff>
      <xdr:row>6</xdr:row>
      <xdr:rowOff>170094</xdr:rowOff>
    </xdr:to>
    <xdr:graphicFrame macro="">
      <xdr:nvGraphicFramePr>
        <xdr:cNvPr id="32" name="Chart 31">
          <a:extLst>
            <a:ext uri="{FF2B5EF4-FFF2-40B4-BE49-F238E27FC236}">
              <a16:creationId xmlns:a16="http://schemas.microsoft.com/office/drawing/2014/main" id="{D265C6F8-06D5-4FFB-A7D1-4E3AB1E2C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249464</xdr:colOff>
      <xdr:row>2</xdr:row>
      <xdr:rowOff>136069</xdr:rowOff>
    </xdr:from>
    <xdr:to>
      <xdr:col>23</xdr:col>
      <xdr:colOff>566963</xdr:colOff>
      <xdr:row>5</xdr:row>
      <xdr:rowOff>113392</xdr:rowOff>
    </xdr:to>
    <xdr:sp macro="" textlink="">
      <xdr:nvSpPr>
        <xdr:cNvPr id="31" name="Freeform: Shape 30">
          <a:extLst>
            <a:ext uri="{FF2B5EF4-FFF2-40B4-BE49-F238E27FC236}">
              <a16:creationId xmlns:a16="http://schemas.microsoft.com/office/drawing/2014/main" id="{8D11F2D4-34EE-F943-FC15-DA820549E81A}"/>
            </a:ext>
          </a:extLst>
        </xdr:cNvPr>
        <xdr:cNvSpPr/>
      </xdr:nvSpPr>
      <xdr:spPr>
        <a:xfrm>
          <a:off x="13403035" y="521605"/>
          <a:ext cx="2290535" cy="555626"/>
        </a:xfrm>
        <a:custGeom>
          <a:avLst/>
          <a:gdLst>
            <a:gd name="connsiteX0" fmla="*/ 2052866 w 2471057"/>
            <a:gd name="connsiteY0" fmla="*/ 81642 h 587828"/>
            <a:gd name="connsiteX1" fmla="*/ 1994405 w 2471057"/>
            <a:gd name="connsiteY1" fmla="*/ 239646 h 587828"/>
            <a:gd name="connsiteX2" fmla="*/ 1805217 w 2471057"/>
            <a:gd name="connsiteY2" fmla="*/ 239645 h 587828"/>
            <a:gd name="connsiteX3" fmla="*/ 1958274 w 2471057"/>
            <a:gd name="connsiteY3" fmla="*/ 337296 h 587828"/>
            <a:gd name="connsiteX4" fmla="*/ 1899810 w 2471057"/>
            <a:gd name="connsiteY4" fmla="*/ 495299 h 587828"/>
            <a:gd name="connsiteX5" fmla="*/ 2052866 w 2471057"/>
            <a:gd name="connsiteY5" fmla="*/ 397646 h 587828"/>
            <a:gd name="connsiteX6" fmla="*/ 2205922 w 2471057"/>
            <a:gd name="connsiteY6" fmla="*/ 495299 h 587828"/>
            <a:gd name="connsiteX7" fmla="*/ 2147458 w 2471057"/>
            <a:gd name="connsiteY7" fmla="*/ 337296 h 587828"/>
            <a:gd name="connsiteX8" fmla="*/ 2300515 w 2471057"/>
            <a:gd name="connsiteY8" fmla="*/ 239645 h 587828"/>
            <a:gd name="connsiteX9" fmla="*/ 2111327 w 2471057"/>
            <a:gd name="connsiteY9" fmla="*/ 239646 h 587828"/>
            <a:gd name="connsiteX10" fmla="*/ 1508580 w 2471057"/>
            <a:gd name="connsiteY10" fmla="*/ 81642 h 587828"/>
            <a:gd name="connsiteX11" fmla="*/ 1450119 w 2471057"/>
            <a:gd name="connsiteY11" fmla="*/ 239646 h 587828"/>
            <a:gd name="connsiteX12" fmla="*/ 1260931 w 2471057"/>
            <a:gd name="connsiteY12" fmla="*/ 239645 h 587828"/>
            <a:gd name="connsiteX13" fmla="*/ 1413988 w 2471057"/>
            <a:gd name="connsiteY13" fmla="*/ 337296 h 587828"/>
            <a:gd name="connsiteX14" fmla="*/ 1355524 w 2471057"/>
            <a:gd name="connsiteY14" fmla="*/ 495299 h 587828"/>
            <a:gd name="connsiteX15" fmla="*/ 1508580 w 2471057"/>
            <a:gd name="connsiteY15" fmla="*/ 397646 h 587828"/>
            <a:gd name="connsiteX16" fmla="*/ 1661636 w 2471057"/>
            <a:gd name="connsiteY16" fmla="*/ 495299 h 587828"/>
            <a:gd name="connsiteX17" fmla="*/ 1603172 w 2471057"/>
            <a:gd name="connsiteY17" fmla="*/ 337296 h 587828"/>
            <a:gd name="connsiteX18" fmla="*/ 1756229 w 2471057"/>
            <a:gd name="connsiteY18" fmla="*/ 239645 h 587828"/>
            <a:gd name="connsiteX19" fmla="*/ 1567041 w 2471057"/>
            <a:gd name="connsiteY19" fmla="*/ 239646 h 587828"/>
            <a:gd name="connsiteX20" fmla="*/ 964294 w 2471057"/>
            <a:gd name="connsiteY20" fmla="*/ 81642 h 587828"/>
            <a:gd name="connsiteX21" fmla="*/ 905833 w 2471057"/>
            <a:gd name="connsiteY21" fmla="*/ 239646 h 587828"/>
            <a:gd name="connsiteX22" fmla="*/ 716645 w 2471057"/>
            <a:gd name="connsiteY22" fmla="*/ 239645 h 587828"/>
            <a:gd name="connsiteX23" fmla="*/ 869702 w 2471057"/>
            <a:gd name="connsiteY23" fmla="*/ 337296 h 587828"/>
            <a:gd name="connsiteX24" fmla="*/ 811238 w 2471057"/>
            <a:gd name="connsiteY24" fmla="*/ 495299 h 587828"/>
            <a:gd name="connsiteX25" fmla="*/ 964294 w 2471057"/>
            <a:gd name="connsiteY25" fmla="*/ 397646 h 587828"/>
            <a:gd name="connsiteX26" fmla="*/ 1117350 w 2471057"/>
            <a:gd name="connsiteY26" fmla="*/ 495299 h 587828"/>
            <a:gd name="connsiteX27" fmla="*/ 1058886 w 2471057"/>
            <a:gd name="connsiteY27" fmla="*/ 337296 h 587828"/>
            <a:gd name="connsiteX28" fmla="*/ 1211943 w 2471057"/>
            <a:gd name="connsiteY28" fmla="*/ 239645 h 587828"/>
            <a:gd name="connsiteX29" fmla="*/ 1022755 w 2471057"/>
            <a:gd name="connsiteY29" fmla="*/ 239646 h 587828"/>
            <a:gd name="connsiteX30" fmla="*/ 420008 w 2471057"/>
            <a:gd name="connsiteY30" fmla="*/ 81642 h 587828"/>
            <a:gd name="connsiteX31" fmla="*/ 361547 w 2471057"/>
            <a:gd name="connsiteY31" fmla="*/ 239646 h 587828"/>
            <a:gd name="connsiteX32" fmla="*/ 172359 w 2471057"/>
            <a:gd name="connsiteY32" fmla="*/ 239645 h 587828"/>
            <a:gd name="connsiteX33" fmla="*/ 325416 w 2471057"/>
            <a:gd name="connsiteY33" fmla="*/ 337296 h 587828"/>
            <a:gd name="connsiteX34" fmla="*/ 266952 w 2471057"/>
            <a:gd name="connsiteY34" fmla="*/ 495299 h 587828"/>
            <a:gd name="connsiteX35" fmla="*/ 420008 w 2471057"/>
            <a:gd name="connsiteY35" fmla="*/ 397646 h 587828"/>
            <a:gd name="connsiteX36" fmla="*/ 573064 w 2471057"/>
            <a:gd name="connsiteY36" fmla="*/ 495299 h 587828"/>
            <a:gd name="connsiteX37" fmla="*/ 514600 w 2471057"/>
            <a:gd name="connsiteY37" fmla="*/ 337296 h 587828"/>
            <a:gd name="connsiteX38" fmla="*/ 667657 w 2471057"/>
            <a:gd name="connsiteY38" fmla="*/ 239645 h 587828"/>
            <a:gd name="connsiteX39" fmla="*/ 478469 w 2471057"/>
            <a:gd name="connsiteY39" fmla="*/ 239646 h 587828"/>
            <a:gd name="connsiteX40" fmla="*/ 0 w 2471057"/>
            <a:gd name="connsiteY40" fmla="*/ 0 h 587828"/>
            <a:gd name="connsiteX41" fmla="*/ 2471057 w 2471057"/>
            <a:gd name="connsiteY41" fmla="*/ 0 h 587828"/>
            <a:gd name="connsiteX42" fmla="*/ 2471057 w 2471057"/>
            <a:gd name="connsiteY42" fmla="*/ 587828 h 587828"/>
            <a:gd name="connsiteX43" fmla="*/ 0 w 2471057"/>
            <a:gd name="connsiteY43" fmla="*/ 587828 h 5878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471057" h="587828">
              <a:moveTo>
                <a:pt x="2052866" y="81642"/>
              </a:moveTo>
              <a:lnTo>
                <a:pt x="1994405" y="239646"/>
              </a:lnTo>
              <a:lnTo>
                <a:pt x="1805217" y="239645"/>
              </a:lnTo>
              <a:lnTo>
                <a:pt x="1958274" y="337296"/>
              </a:lnTo>
              <a:lnTo>
                <a:pt x="1899810" y="495299"/>
              </a:lnTo>
              <a:lnTo>
                <a:pt x="2052866" y="397646"/>
              </a:lnTo>
              <a:lnTo>
                <a:pt x="2205922" y="495299"/>
              </a:lnTo>
              <a:lnTo>
                <a:pt x="2147458" y="337296"/>
              </a:lnTo>
              <a:lnTo>
                <a:pt x="2300515" y="239645"/>
              </a:lnTo>
              <a:lnTo>
                <a:pt x="2111327" y="239646"/>
              </a:lnTo>
              <a:close/>
              <a:moveTo>
                <a:pt x="1508580" y="81642"/>
              </a:moveTo>
              <a:lnTo>
                <a:pt x="1450119" y="239646"/>
              </a:lnTo>
              <a:lnTo>
                <a:pt x="1260931" y="239645"/>
              </a:lnTo>
              <a:lnTo>
                <a:pt x="1413988" y="337296"/>
              </a:lnTo>
              <a:lnTo>
                <a:pt x="1355524" y="495299"/>
              </a:lnTo>
              <a:lnTo>
                <a:pt x="1508580" y="397646"/>
              </a:lnTo>
              <a:lnTo>
                <a:pt x="1661636" y="495299"/>
              </a:lnTo>
              <a:lnTo>
                <a:pt x="1603172" y="337296"/>
              </a:lnTo>
              <a:lnTo>
                <a:pt x="1756229" y="239645"/>
              </a:lnTo>
              <a:lnTo>
                <a:pt x="1567041" y="239646"/>
              </a:lnTo>
              <a:close/>
              <a:moveTo>
                <a:pt x="964294" y="81642"/>
              </a:moveTo>
              <a:lnTo>
                <a:pt x="905833" y="239646"/>
              </a:lnTo>
              <a:lnTo>
                <a:pt x="716645" y="239645"/>
              </a:lnTo>
              <a:lnTo>
                <a:pt x="869702" y="337296"/>
              </a:lnTo>
              <a:lnTo>
                <a:pt x="811238" y="495299"/>
              </a:lnTo>
              <a:lnTo>
                <a:pt x="964294" y="397646"/>
              </a:lnTo>
              <a:lnTo>
                <a:pt x="1117350" y="495299"/>
              </a:lnTo>
              <a:lnTo>
                <a:pt x="1058886" y="337296"/>
              </a:lnTo>
              <a:lnTo>
                <a:pt x="1211943" y="239645"/>
              </a:lnTo>
              <a:lnTo>
                <a:pt x="1022755" y="239646"/>
              </a:lnTo>
              <a:close/>
              <a:moveTo>
                <a:pt x="420008" y="81642"/>
              </a:moveTo>
              <a:lnTo>
                <a:pt x="361547" y="239646"/>
              </a:lnTo>
              <a:lnTo>
                <a:pt x="172359" y="239645"/>
              </a:lnTo>
              <a:lnTo>
                <a:pt x="325416" y="337296"/>
              </a:lnTo>
              <a:lnTo>
                <a:pt x="266952" y="495299"/>
              </a:lnTo>
              <a:lnTo>
                <a:pt x="420008" y="397646"/>
              </a:lnTo>
              <a:lnTo>
                <a:pt x="573064" y="495299"/>
              </a:lnTo>
              <a:lnTo>
                <a:pt x="514600" y="337296"/>
              </a:lnTo>
              <a:lnTo>
                <a:pt x="667657" y="239645"/>
              </a:lnTo>
              <a:lnTo>
                <a:pt x="478469" y="239646"/>
              </a:lnTo>
              <a:close/>
              <a:moveTo>
                <a:pt x="0" y="0"/>
              </a:moveTo>
              <a:lnTo>
                <a:pt x="2471057" y="0"/>
              </a:lnTo>
              <a:lnTo>
                <a:pt x="2471057" y="587828"/>
              </a:lnTo>
              <a:lnTo>
                <a:pt x="0" y="587828"/>
              </a:lnTo>
              <a:close/>
            </a:path>
          </a:pathLst>
        </a:cu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185512</xdr:colOff>
      <xdr:row>17</xdr:row>
      <xdr:rowOff>58101</xdr:rowOff>
    </xdr:from>
    <xdr:to>
      <xdr:col>4</xdr:col>
      <xdr:colOff>310155</xdr:colOff>
      <xdr:row>24</xdr:row>
      <xdr:rowOff>148726</xdr:rowOff>
    </xdr:to>
    <xdr:graphicFrame macro="">
      <xdr:nvGraphicFramePr>
        <xdr:cNvPr id="33" name="Chart 32">
          <a:extLst>
            <a:ext uri="{FF2B5EF4-FFF2-40B4-BE49-F238E27FC236}">
              <a16:creationId xmlns:a16="http://schemas.microsoft.com/office/drawing/2014/main" id="{A5799BBF-16DE-4BBF-A5AB-D860DEF4E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321583</xdr:colOff>
      <xdr:row>17</xdr:row>
      <xdr:rowOff>58101</xdr:rowOff>
    </xdr:from>
    <xdr:to>
      <xdr:col>8</xdr:col>
      <xdr:colOff>446225</xdr:colOff>
      <xdr:row>24</xdr:row>
      <xdr:rowOff>148726</xdr:rowOff>
    </xdr:to>
    <xdr:graphicFrame macro="">
      <xdr:nvGraphicFramePr>
        <xdr:cNvPr id="34" name="Chart 33">
          <a:extLst>
            <a:ext uri="{FF2B5EF4-FFF2-40B4-BE49-F238E27FC236}">
              <a16:creationId xmlns:a16="http://schemas.microsoft.com/office/drawing/2014/main" id="{25C92776-8413-4F99-8B1B-2CAA509DF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317500</xdr:colOff>
      <xdr:row>18</xdr:row>
      <xdr:rowOff>135334</xdr:rowOff>
    </xdr:from>
    <xdr:to>
      <xdr:col>6</xdr:col>
      <xdr:colOff>559822</xdr:colOff>
      <xdr:row>23</xdr:row>
      <xdr:rowOff>71494</xdr:rowOff>
    </xdr:to>
    <xdr:pic>
      <xdr:nvPicPr>
        <xdr:cNvPr id="47" name="Graphic 46" descr="Male profile with solid fill">
          <a:extLst>
            <a:ext uri="{FF2B5EF4-FFF2-40B4-BE49-F238E27FC236}">
              <a16:creationId xmlns:a16="http://schemas.microsoft.com/office/drawing/2014/main" id="{E59669E1-7A4D-B68A-1585-62E751D45C1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05893" y="3605155"/>
          <a:ext cx="900000" cy="900000"/>
        </a:xfrm>
        <a:prstGeom prst="rect">
          <a:avLst/>
        </a:prstGeom>
      </xdr:spPr>
    </xdr:pic>
    <xdr:clientData/>
  </xdr:twoCellAnchor>
  <xdr:twoCellAnchor editAs="oneCell">
    <xdr:from>
      <xdr:col>4</xdr:col>
      <xdr:colOff>138660</xdr:colOff>
      <xdr:row>18</xdr:row>
      <xdr:rowOff>135334</xdr:rowOff>
    </xdr:from>
    <xdr:to>
      <xdr:col>5</xdr:col>
      <xdr:colOff>380981</xdr:colOff>
      <xdr:row>23</xdr:row>
      <xdr:rowOff>71494</xdr:rowOff>
    </xdr:to>
    <xdr:pic>
      <xdr:nvPicPr>
        <xdr:cNvPr id="49" name="Graphic 48" descr="Female Profile with solid fill">
          <a:extLst>
            <a:ext uri="{FF2B5EF4-FFF2-40B4-BE49-F238E27FC236}">
              <a16:creationId xmlns:a16="http://schemas.microsoft.com/office/drawing/2014/main" id="{8C68D97E-F7D8-39B5-D6D5-11831971A6A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769374" y="3605155"/>
          <a:ext cx="900000" cy="90000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0.22619</cdr:x>
      <cdr:y>0.38095</cdr:y>
    </cdr:from>
    <cdr:to>
      <cdr:x>0.61905</cdr:x>
      <cdr:y>0.71429</cdr:y>
    </cdr:to>
    <cdr:sp macro="" textlink="">
      <cdr:nvSpPr>
        <cdr:cNvPr id="2" name="TextBox 1">
          <a:extLst xmlns:a="http://schemas.openxmlformats.org/drawingml/2006/main">
            <a:ext uri="{FF2B5EF4-FFF2-40B4-BE49-F238E27FC236}">
              <a16:creationId xmlns:a16="http://schemas.microsoft.com/office/drawing/2014/main" id="{8EEFDA1F-3524-821D-7611-05AEC48F90A0}"/>
            </a:ext>
          </a:extLst>
        </cdr:cNvPr>
        <cdr:cNvSpPr txBox="1"/>
      </cdr:nvSpPr>
      <cdr:spPr>
        <a:xfrm xmlns:a="http://schemas.openxmlformats.org/drawingml/2006/main">
          <a:off x="215445" y="362858"/>
          <a:ext cx="374196"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0.30301</cdr:x>
      <cdr:y>0.36679</cdr:y>
    </cdr:from>
    <cdr:to>
      <cdr:x>0.9421</cdr:x>
      <cdr:y>0.68099</cdr:y>
    </cdr:to>
    <cdr:sp macro="" textlink="Gender!$B$8">
      <cdr:nvSpPr>
        <cdr:cNvPr id="2" name="TextBox 82">
          <a:extLst xmlns:a="http://schemas.openxmlformats.org/drawingml/2006/main">
            <a:ext uri="{FF2B5EF4-FFF2-40B4-BE49-F238E27FC236}">
              <a16:creationId xmlns:a16="http://schemas.microsoft.com/office/drawing/2014/main" id="{3C2F300E-C141-508B-7E5C-4D564944DE43}"/>
            </a:ext>
          </a:extLst>
        </cdr:cNvPr>
        <cdr:cNvSpPr txBox="1"/>
      </cdr:nvSpPr>
      <cdr:spPr>
        <a:xfrm xmlns:a="http://schemas.openxmlformats.org/drawingml/2006/main">
          <a:off x="436335" y="528184"/>
          <a:ext cx="920295" cy="4524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2BE3745-7919-4E44-A71A-8F9A2EF1F68E}" type="TxLink">
            <a:rPr lang="en-US" sz="1800" b="0" i="0" u="none" strike="noStrike">
              <a:solidFill>
                <a:srgbClr val="002060"/>
              </a:solidFill>
              <a:latin typeface="Berlin Sans FB Demi" panose="020E0802020502020306" pitchFamily="34" charset="0"/>
              <a:ea typeface="Calibri"/>
              <a:cs typeface="Calibri"/>
            </a:rPr>
            <a:t>588</a:t>
          </a:fld>
          <a:endParaRPr lang="en-IN" sz="1800">
            <a:solidFill>
              <a:srgbClr val="002060"/>
            </a:solidFill>
            <a:latin typeface="Berlin Sans FB Demi" panose="020E0802020502020306"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0.31089</cdr:x>
      <cdr:y>0.34238</cdr:y>
    </cdr:from>
    <cdr:to>
      <cdr:x>0.94998</cdr:x>
      <cdr:y>0.65658</cdr:y>
    </cdr:to>
    <cdr:sp macro="" textlink="Gender!$B$9">
      <cdr:nvSpPr>
        <cdr:cNvPr id="2" name="TextBox 82">
          <a:extLst xmlns:a="http://schemas.openxmlformats.org/drawingml/2006/main">
            <a:ext uri="{FF2B5EF4-FFF2-40B4-BE49-F238E27FC236}">
              <a16:creationId xmlns:a16="http://schemas.microsoft.com/office/drawing/2014/main" id="{80C94A85-9285-0DF5-02C8-EBE2129FE554}"/>
            </a:ext>
          </a:extLst>
        </cdr:cNvPr>
        <cdr:cNvSpPr txBox="1"/>
      </cdr:nvSpPr>
      <cdr:spPr>
        <a:xfrm xmlns:a="http://schemas.openxmlformats.org/drawingml/2006/main">
          <a:off x="447675" y="493032"/>
          <a:ext cx="920295" cy="4524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53F54806-665B-4134-B773-EFF00AA03CDC}" type="TxLink">
            <a:rPr lang="en-US" sz="1800" b="0" i="0" u="none" strike="noStrike">
              <a:solidFill>
                <a:srgbClr val="002060"/>
              </a:solidFill>
              <a:latin typeface="Berlin Sans FB Demi" panose="020E0802020502020306" pitchFamily="34" charset="0"/>
              <a:ea typeface="Calibri"/>
              <a:cs typeface="Calibri"/>
            </a:rPr>
            <a:t>882</a:t>
          </a:fld>
          <a:endParaRPr lang="en-IN" sz="2800">
            <a:solidFill>
              <a:srgbClr val="002060"/>
            </a:solidFill>
            <a:latin typeface="Berlin Sans FB Demi" panose="020E0802020502020306" pitchFamily="34" charset="0"/>
          </a:endParaRPr>
        </a:p>
      </cdr:txBody>
    </cdr:sp>
  </cdr:relSizeAnchor>
</c:userShapes>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9.823793518517" createdVersion="8" refreshedVersion="8" minRefreshableVersion="3" recordCount="1470" xr:uid="{DDE69A99-A541-4365-BCED-F8F975C248C0}">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83926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x v="0"/>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x v="1"/>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x v="0"/>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x v="2"/>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x v="0"/>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x v="2"/>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x v="0"/>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x v="0"/>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x v="2"/>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x v="2"/>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x v="0"/>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x v="0"/>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x v="2"/>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x v="0"/>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x v="0"/>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x v="0"/>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x v="2"/>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x v="0"/>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x v="0"/>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x v="1"/>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x v="0"/>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x v="0"/>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x v="0"/>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x v="2"/>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x v="1"/>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x v="0"/>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x v="3"/>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x v="2"/>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x v="3"/>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x v="2"/>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x v="1"/>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x v="2"/>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x v="4"/>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x v="2"/>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x v="2"/>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x v="3"/>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x v="3"/>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x v="0"/>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x v="0"/>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x v="1"/>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x v="0"/>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x v="0"/>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x v="0"/>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x v="2"/>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x v="4"/>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x v="3"/>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x v="0"/>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x v="3"/>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x v="0"/>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x v="0"/>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x v="4"/>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x v="3"/>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x v="2"/>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x v="3"/>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x v="0"/>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x v="0"/>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x v="2"/>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x v="0"/>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x v="0"/>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x v="2"/>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x v="0"/>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x v="2"/>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x v="0"/>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x v="4"/>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x v="2"/>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x v="0"/>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x v="0"/>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x v="2"/>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x v="2"/>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x v="0"/>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x v="0"/>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x v="2"/>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x v="0"/>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x v="0"/>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x v="0"/>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x v="3"/>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x v="1"/>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x v="2"/>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x v="2"/>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x v="0"/>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x v="2"/>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x v="0"/>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x v="2"/>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x v="2"/>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x v="0"/>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x v="4"/>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x v="0"/>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x v="0"/>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x v="2"/>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x v="0"/>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x v="3"/>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x v="2"/>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x v="2"/>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x v="2"/>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x v="4"/>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x v="1"/>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x v="2"/>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x v="2"/>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x v="2"/>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x v="5"/>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x v="0"/>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x v="0"/>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x v="1"/>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x v="0"/>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x v="5"/>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x v="0"/>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x v="3"/>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x v="2"/>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x v="2"/>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x v="2"/>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x v="0"/>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x v="5"/>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x v="0"/>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x v="0"/>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x v="0"/>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x v="2"/>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x v="4"/>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x v="0"/>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x v="0"/>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x v="0"/>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x v="3"/>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x v="0"/>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x v="0"/>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x v="0"/>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x v="1"/>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x v="2"/>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x v="3"/>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x v="4"/>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x v="2"/>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x v="2"/>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x v="3"/>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x v="0"/>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x v="0"/>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x v="0"/>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x v="2"/>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x v="0"/>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x v="0"/>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x v="0"/>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x v="5"/>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x v="2"/>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x v="2"/>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x v="4"/>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x v="0"/>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x v="2"/>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x v="4"/>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x v="2"/>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x v="0"/>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x v="0"/>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x v="2"/>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x v="2"/>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x v="3"/>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x v="3"/>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x v="0"/>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x v="3"/>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x v="4"/>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x v="2"/>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x v="2"/>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x v="3"/>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x v="3"/>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x v="2"/>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x v="2"/>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x v="2"/>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x v="0"/>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x v="2"/>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x v="0"/>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x v="0"/>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x v="0"/>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x v="0"/>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x v="0"/>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x v="4"/>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x v="4"/>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x v="2"/>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x v="2"/>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x v="0"/>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x v="0"/>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x v="0"/>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x v="0"/>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x v="3"/>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x v="0"/>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x v="2"/>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x v="2"/>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x v="3"/>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x v="2"/>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x v="2"/>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x v="2"/>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x v="2"/>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x v="2"/>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x v="0"/>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x v="2"/>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x v="0"/>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x v="2"/>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x v="0"/>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x v="2"/>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x v="2"/>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x v="0"/>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x v="2"/>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x v="2"/>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x v="0"/>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x v="4"/>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x v="4"/>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x v="0"/>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x v="2"/>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x v="2"/>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x v="2"/>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x v="3"/>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x v="0"/>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x v="2"/>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x v="0"/>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x v="2"/>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x v="2"/>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x v="0"/>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x v="0"/>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x v="0"/>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x v="4"/>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x v="0"/>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x v="3"/>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x v="4"/>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x v="2"/>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x v="3"/>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x v="0"/>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x v="2"/>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x v="1"/>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x v="0"/>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x v="2"/>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x v="0"/>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x v="3"/>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x v="2"/>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x v="3"/>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x v="2"/>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x v="0"/>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x v="4"/>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x v="2"/>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x v="2"/>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x v="2"/>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x v="3"/>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x v="0"/>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x v="0"/>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x v="0"/>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x v="0"/>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x v="2"/>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x v="3"/>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x v="0"/>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x v="4"/>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x v="1"/>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x v="2"/>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x v="0"/>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x v="0"/>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x v="2"/>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x v="0"/>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x v="2"/>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x v="4"/>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x v="0"/>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x v="0"/>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x v="3"/>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x v="0"/>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x v="2"/>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x v="2"/>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x v="0"/>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x v="2"/>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x v="0"/>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x v="0"/>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x v="4"/>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x v="4"/>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x v="0"/>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x v="2"/>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x v="2"/>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x v="0"/>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x v="2"/>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x v="0"/>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x v="2"/>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x v="0"/>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x v="2"/>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x v="2"/>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x v="2"/>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x v="2"/>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x v="0"/>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x v="2"/>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x v="0"/>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x v="0"/>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x v="2"/>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x v="0"/>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x v="0"/>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x v="4"/>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x v="2"/>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x v="0"/>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x v="0"/>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x v="0"/>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x v="2"/>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x v="0"/>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x v="0"/>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x v="4"/>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x v="3"/>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x v="3"/>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x v="2"/>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x v="3"/>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x v="0"/>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x v="3"/>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x v="0"/>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x v="2"/>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x v="0"/>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x v="2"/>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x v="2"/>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x v="4"/>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x v="2"/>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x v="0"/>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x v="0"/>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x v="0"/>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x v="0"/>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x v="4"/>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x v="5"/>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x v="0"/>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x v="0"/>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x v="0"/>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x v="2"/>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x v="0"/>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x v="4"/>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x v="2"/>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x v="0"/>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x v="4"/>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x v="0"/>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x v="3"/>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x v="2"/>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x v="2"/>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x v="2"/>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x v="0"/>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x v="2"/>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x v="2"/>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x v="3"/>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x v="0"/>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x v="0"/>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x v="3"/>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x v="0"/>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x v="0"/>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x v="1"/>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x v="2"/>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x v="1"/>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x v="1"/>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x v="3"/>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x v="3"/>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x v="2"/>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x v="0"/>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x v="2"/>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x v="3"/>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x v="4"/>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x v="0"/>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x v="2"/>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x v="2"/>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x v="0"/>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x v="0"/>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x v="4"/>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x v="2"/>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x v="2"/>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x v="2"/>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x v="4"/>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x v="0"/>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x v="1"/>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x v="4"/>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x v="2"/>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x v="2"/>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x v="2"/>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x v="0"/>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x v="2"/>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x v="3"/>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x v="2"/>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x v="2"/>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x v="3"/>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x v="4"/>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x v="3"/>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x v="0"/>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x v="0"/>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x v="0"/>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x v="0"/>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x v="2"/>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x v="0"/>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x v="1"/>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x v="0"/>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x v="0"/>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x v="3"/>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x v="0"/>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x v="3"/>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x v="4"/>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x v="4"/>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x v="2"/>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x v="2"/>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x v="4"/>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x v="0"/>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x v="3"/>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x v="0"/>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x v="0"/>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x v="0"/>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x v="2"/>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x v="2"/>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x v="3"/>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x v="2"/>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x v="2"/>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x v="1"/>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x v="0"/>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x v="2"/>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x v="0"/>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x v="0"/>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x v="0"/>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x v="4"/>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x v="3"/>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x v="2"/>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x v="2"/>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x v="2"/>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x v="0"/>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x v="0"/>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x v="0"/>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x v="0"/>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x v="0"/>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x v="2"/>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x v="4"/>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x v="4"/>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x v="3"/>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x v="0"/>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x v="0"/>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x v="0"/>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x v="0"/>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x v="2"/>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x v="4"/>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x v="4"/>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x v="1"/>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x v="3"/>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x v="0"/>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x v="2"/>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x v="3"/>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x v="2"/>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x v="0"/>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x v="0"/>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x v="0"/>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x v="0"/>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x v="3"/>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x v="0"/>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x v="2"/>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x v="2"/>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x v="3"/>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x v="0"/>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x v="0"/>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x v="5"/>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x v="1"/>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x v="2"/>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x v="4"/>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x v="3"/>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x v="0"/>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x v="0"/>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x v="3"/>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x v="0"/>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x v="0"/>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x v="0"/>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x v="2"/>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x v="1"/>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x v="0"/>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x v="4"/>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x v="2"/>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x v="0"/>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x v="3"/>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x v="1"/>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x v="1"/>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x v="2"/>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x v="2"/>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x v="0"/>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x v="4"/>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x v="4"/>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x v="2"/>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x v="0"/>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x v="2"/>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x v="4"/>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x v="1"/>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x v="2"/>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x v="2"/>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x v="0"/>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x v="0"/>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x v="2"/>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x v="3"/>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x v="1"/>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x v="2"/>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x v="2"/>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x v="0"/>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x v="0"/>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x v="0"/>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x v="2"/>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x v="1"/>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x v="2"/>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x v="2"/>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x v="3"/>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x v="0"/>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x v="0"/>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x v="1"/>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x v="0"/>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x v="2"/>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x v="0"/>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x v="0"/>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x v="4"/>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x v="3"/>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x v="4"/>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x v="1"/>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x v="2"/>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x v="3"/>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x v="0"/>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x v="2"/>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x v="2"/>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x v="0"/>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x v="0"/>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x v="0"/>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x v="1"/>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x v="2"/>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x v="0"/>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x v="0"/>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x v="2"/>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x v="2"/>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x v="2"/>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x v="2"/>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x v="0"/>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x v="0"/>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x v="2"/>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x v="0"/>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x v="3"/>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x v="0"/>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x v="3"/>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x v="2"/>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x v="0"/>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x v="2"/>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x v="2"/>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x v="0"/>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x v="4"/>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x v="3"/>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x v="4"/>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x v="0"/>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x v="0"/>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x v="0"/>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x v="3"/>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x v="0"/>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x v="0"/>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x v="5"/>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x v="3"/>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x v="0"/>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x v="5"/>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x v="3"/>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x v="0"/>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x v="0"/>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x v="0"/>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x v="2"/>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x v="2"/>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x v="3"/>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x v="0"/>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x v="2"/>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x v="0"/>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x v="2"/>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x v="2"/>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x v="5"/>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x v="2"/>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x v="2"/>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x v="2"/>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x v="3"/>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x v="0"/>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x v="0"/>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x v="0"/>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x v="2"/>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x v="0"/>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x v="3"/>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x v="1"/>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x v="2"/>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x v="4"/>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x v="2"/>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x v="0"/>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x v="1"/>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x v="2"/>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x v="0"/>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x v="2"/>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x v="0"/>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x v="2"/>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x v="4"/>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x v="0"/>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x v="2"/>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x v="3"/>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x v="0"/>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x v="0"/>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x v="2"/>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x v="0"/>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x v="0"/>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x v="2"/>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x v="0"/>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x v="0"/>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x v="0"/>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x v="0"/>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x v="0"/>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x v="2"/>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x v="0"/>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x v="2"/>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x v="3"/>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x v="1"/>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x v="1"/>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x v="0"/>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x v="0"/>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x v="0"/>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x v="0"/>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x v="2"/>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x v="5"/>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x v="0"/>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x v="2"/>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x v="2"/>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x v="0"/>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x v="0"/>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x v="0"/>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x v="0"/>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x v="3"/>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x v="2"/>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x v="0"/>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x v="4"/>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x v="1"/>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x v="3"/>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x v="5"/>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x v="2"/>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x v="2"/>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x v="3"/>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x v="2"/>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x v="2"/>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x v="2"/>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x v="2"/>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x v="0"/>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x v="0"/>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x v="0"/>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x v="3"/>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x v="3"/>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x v="2"/>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x v="2"/>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x v="3"/>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x v="2"/>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x v="0"/>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x v="0"/>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x v="2"/>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x v="0"/>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x v="1"/>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x v="0"/>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x v="0"/>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x v="0"/>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x v="3"/>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x v="4"/>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x v="0"/>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x v="0"/>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x v="3"/>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x v="0"/>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x v="0"/>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x v="2"/>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x v="3"/>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x v="4"/>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x v="2"/>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x v="0"/>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x v="0"/>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x v="3"/>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x v="2"/>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x v="0"/>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x v="0"/>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x v="5"/>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x v="0"/>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x v="2"/>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x v="0"/>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x v="2"/>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x v="0"/>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x v="0"/>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x v="2"/>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x v="1"/>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x v="0"/>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x v="0"/>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x v="0"/>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x v="0"/>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x v="2"/>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x v="2"/>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x v="0"/>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x v="0"/>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x v="2"/>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x v="1"/>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x v="4"/>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x v="0"/>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x v="0"/>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x v="1"/>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x v="2"/>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x v="3"/>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x v="1"/>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x v="4"/>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x v="0"/>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x v="3"/>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x v="3"/>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x v="2"/>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x v="2"/>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x v="2"/>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x v="1"/>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x v="4"/>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x v="2"/>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x v="2"/>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x v="2"/>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x v="0"/>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x v="0"/>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x v="0"/>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x v="0"/>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x v="4"/>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x v="2"/>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x v="0"/>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x v="4"/>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x v="2"/>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x v="1"/>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x v="4"/>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x v="0"/>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x v="0"/>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x v="0"/>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x v="2"/>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x v="4"/>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x v="2"/>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x v="0"/>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x v="0"/>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x v="0"/>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x v="2"/>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x v="2"/>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x v="1"/>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x v="2"/>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x v="4"/>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x v="0"/>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x v="0"/>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x v="0"/>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x v="0"/>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x v="2"/>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x v="2"/>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x v="2"/>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x v="1"/>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x v="0"/>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x v="0"/>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x v="4"/>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x v="2"/>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x v="0"/>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x v="2"/>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x v="2"/>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x v="2"/>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x v="0"/>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x v="0"/>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x v="0"/>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x v="2"/>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x v="0"/>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x v="0"/>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x v="1"/>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x v="3"/>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x v="0"/>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x v="0"/>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x v="2"/>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x v="2"/>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x v="0"/>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x v="0"/>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x v="2"/>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x v="3"/>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x v="2"/>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x v="0"/>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x v="0"/>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x v="2"/>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x v="0"/>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x v="0"/>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x v="2"/>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x v="3"/>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x v="4"/>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x v="2"/>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x v="3"/>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x v="1"/>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x v="0"/>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x v="0"/>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x v="2"/>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x v="1"/>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x v="2"/>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x v="1"/>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x v="3"/>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x v="2"/>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x v="2"/>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x v="0"/>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x v="2"/>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x v="2"/>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x v="2"/>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x v="2"/>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x v="3"/>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x v="0"/>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x v="0"/>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x v="0"/>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x v="4"/>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x v="2"/>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x v="1"/>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x v="4"/>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x v="0"/>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x v="4"/>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x v="0"/>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x v="0"/>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x v="1"/>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x v="2"/>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x v="0"/>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x v="4"/>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x v="2"/>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x v="0"/>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x v="0"/>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x v="0"/>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x v="4"/>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x v="2"/>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x v="2"/>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x v="2"/>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x v="2"/>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x v="1"/>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x v="0"/>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x v="0"/>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x v="2"/>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x v="0"/>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x v="0"/>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x v="3"/>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x v="0"/>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x v="2"/>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x v="3"/>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x v="3"/>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x v="0"/>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x v="0"/>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x v="2"/>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x v="4"/>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x v="0"/>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x v="0"/>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x v="0"/>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x v="0"/>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x v="3"/>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x v="4"/>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x v="0"/>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x v="0"/>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x v="2"/>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x v="2"/>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x v="5"/>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x v="0"/>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x v="2"/>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x v="3"/>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x v="0"/>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x v="2"/>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x v="2"/>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x v="0"/>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x v="0"/>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x v="4"/>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x v="0"/>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x v="2"/>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x v="0"/>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x v="3"/>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x v="2"/>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x v="2"/>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x v="0"/>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x v="2"/>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x v="3"/>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x v="2"/>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x v="0"/>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x v="2"/>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x v="1"/>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x v="3"/>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x v="0"/>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x v="4"/>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x v="2"/>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x v="0"/>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x v="2"/>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x v="0"/>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x v="0"/>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x v="0"/>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x v="2"/>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x v="0"/>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x v="0"/>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x v="3"/>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x v="0"/>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x v="5"/>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x v="0"/>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x v="0"/>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x v="2"/>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x v="2"/>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x v="2"/>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x v="0"/>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x v="0"/>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x v="0"/>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x v="2"/>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x v="0"/>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x v="0"/>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x v="1"/>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x v="3"/>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x v="4"/>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x v="2"/>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x v="3"/>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x v="1"/>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x v="0"/>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x v="4"/>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x v="2"/>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x v="4"/>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x v="0"/>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x v="2"/>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x v="2"/>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x v="3"/>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x v="0"/>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x v="0"/>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x v="0"/>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x v="2"/>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x v="0"/>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x v="0"/>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x v="2"/>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x v="2"/>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x v="0"/>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x v="0"/>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x v="2"/>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x v="4"/>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x v="4"/>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x v="0"/>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x v="0"/>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x v="0"/>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x v="0"/>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x v="4"/>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x v="3"/>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x v="3"/>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x v="0"/>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x v="0"/>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x v="0"/>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x v="0"/>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x v="3"/>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x v="2"/>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x v="0"/>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x v="3"/>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x v="3"/>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x v="0"/>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x v="2"/>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x v="2"/>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x v="2"/>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x v="0"/>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x v="0"/>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x v="0"/>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x v="2"/>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x v="3"/>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x v="0"/>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x v="2"/>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x v="0"/>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x v="2"/>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x v="2"/>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x v="4"/>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x v="4"/>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x v="2"/>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x v="2"/>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x v="2"/>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x v="2"/>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x v="0"/>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x v="0"/>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x v="2"/>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x v="4"/>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x v="4"/>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x v="0"/>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x v="0"/>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x v="0"/>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x v="3"/>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x v="0"/>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x v="2"/>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x v="0"/>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x v="0"/>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x v="2"/>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x v="0"/>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x v="0"/>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x v="0"/>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x v="2"/>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x v="0"/>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x v="0"/>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x v="0"/>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x v="0"/>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x v="3"/>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x v="0"/>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x v="0"/>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x v="0"/>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x v="2"/>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x v="2"/>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x v="2"/>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x v="0"/>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x v="3"/>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x v="0"/>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x v="2"/>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x v="4"/>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x v="0"/>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x v="2"/>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x v="0"/>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x v="3"/>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x v="0"/>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x v="4"/>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x v="2"/>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x v="2"/>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x v="0"/>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x v="3"/>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x v="0"/>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x v="4"/>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x v="0"/>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x v="2"/>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x v="0"/>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x v="3"/>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x v="0"/>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x v="0"/>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x v="0"/>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x v="3"/>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x v="0"/>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x v="0"/>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x v="2"/>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x v="2"/>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x v="3"/>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x v="0"/>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x v="2"/>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x v="5"/>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x v="2"/>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x v="2"/>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x v="0"/>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x v="2"/>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x v="2"/>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x v="0"/>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x v="0"/>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x v="3"/>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x v="2"/>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x v="0"/>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x v="2"/>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x v="0"/>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x v="4"/>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x v="0"/>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x v="2"/>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x v="2"/>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x v="4"/>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x v="3"/>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x v="3"/>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x v="5"/>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x v="0"/>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x v="2"/>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x v="2"/>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x v="0"/>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x v="0"/>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x v="4"/>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x v="0"/>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x v="1"/>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x v="0"/>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x v="2"/>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x v="2"/>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x v="4"/>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x v="0"/>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x v="2"/>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x v="1"/>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x v="2"/>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x v="2"/>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x v="1"/>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x v="0"/>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x v="0"/>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x v="0"/>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x v="1"/>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x v="0"/>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x v="0"/>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x v="1"/>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x v="2"/>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x v="2"/>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x v="2"/>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x v="0"/>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x v="1"/>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x v="0"/>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x v="2"/>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x v="0"/>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x v="0"/>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x v="1"/>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x v="2"/>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x v="0"/>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x v="2"/>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x v="2"/>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x v="0"/>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x v="0"/>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x v="0"/>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x v="2"/>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x v="2"/>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x v="2"/>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x v="0"/>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x v="4"/>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x v="2"/>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x v="4"/>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x v="0"/>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x v="3"/>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x v="0"/>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x v="0"/>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x v="3"/>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x v="3"/>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x v="3"/>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x v="2"/>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x v="0"/>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x v="3"/>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x v="0"/>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x v="3"/>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x v="2"/>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x v="0"/>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x v="3"/>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x v="3"/>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x v="2"/>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x v="0"/>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x v="0"/>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x v="2"/>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x v="0"/>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x v="0"/>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x v="1"/>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x v="0"/>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x v="3"/>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x v="0"/>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x v="5"/>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x v="5"/>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x v="2"/>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x v="2"/>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x v="4"/>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x v="1"/>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x v="4"/>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x v="2"/>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x v="4"/>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x v="4"/>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x v="0"/>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x v="2"/>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x v="4"/>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x v="0"/>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x v="2"/>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x v="4"/>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x v="0"/>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x v="0"/>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x v="0"/>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x v="3"/>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x v="3"/>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x v="0"/>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x v="5"/>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x v="2"/>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x v="0"/>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x v="0"/>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x v="2"/>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x v="1"/>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x v="0"/>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x v="0"/>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x v="2"/>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x v="0"/>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x v="0"/>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x v="1"/>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x v="2"/>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x v="4"/>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x v="0"/>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x v="2"/>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x v="0"/>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x v="2"/>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x v="0"/>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x v="2"/>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x v="2"/>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x v="2"/>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x v="0"/>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x v="1"/>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x v="3"/>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x v="1"/>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x v="2"/>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x v="1"/>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x v="0"/>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x v="4"/>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x v="0"/>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x v="0"/>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x v="0"/>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x v="2"/>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x v="2"/>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x v="0"/>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x v="4"/>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x v="0"/>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x v="2"/>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x v="0"/>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x v="0"/>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x v="1"/>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x v="2"/>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x v="4"/>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x v="2"/>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x v="4"/>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x v="1"/>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x v="0"/>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x v="2"/>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x v="0"/>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x v="0"/>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x v="2"/>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x v="2"/>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x v="0"/>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x v="2"/>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x v="0"/>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x v="4"/>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x v="0"/>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x v="4"/>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x v="4"/>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x v="2"/>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x v="2"/>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x v="2"/>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x v="4"/>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x v="0"/>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x v="0"/>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x v="0"/>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x v="0"/>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x v="2"/>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x v="0"/>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x v="2"/>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x v="0"/>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x v="0"/>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x v="2"/>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x v="2"/>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x v="0"/>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x v="0"/>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x v="0"/>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x v="4"/>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x v="0"/>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x v="0"/>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x v="2"/>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x v="0"/>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x v="0"/>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x v="0"/>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x v="2"/>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x v="2"/>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x v="2"/>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x v="0"/>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x v="2"/>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x v="0"/>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x v="0"/>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x v="0"/>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x v="2"/>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x v="0"/>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x v="0"/>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x v="2"/>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x v="0"/>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x v="0"/>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x v="2"/>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x v="0"/>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x v="0"/>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x v="2"/>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x v="1"/>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x v="2"/>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x v="0"/>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x v="0"/>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x v="4"/>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x v="0"/>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x v="0"/>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x v="0"/>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x v="1"/>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x v="2"/>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x v="0"/>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x v="3"/>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x v="0"/>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x v="2"/>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x v="0"/>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x v="2"/>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x v="3"/>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x v="2"/>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x v="0"/>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x v="0"/>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x v="4"/>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x v="2"/>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x v="2"/>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x v="4"/>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x v="0"/>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x v="0"/>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x v="0"/>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x v="3"/>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x v="2"/>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x v="3"/>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x v="3"/>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x v="0"/>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x v="0"/>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x v="0"/>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x v="3"/>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x v="2"/>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x v="3"/>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x v="2"/>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x v="2"/>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x v="1"/>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x v="0"/>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x v="2"/>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x v="3"/>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x v="3"/>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x v="0"/>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x v="1"/>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x v="2"/>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x v="4"/>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x v="0"/>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x v="0"/>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x v="0"/>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x v="2"/>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x v="0"/>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x v="2"/>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x v="2"/>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x v="1"/>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x v="0"/>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x v="0"/>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x v="2"/>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x v="0"/>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x v="0"/>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x v="2"/>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x v="0"/>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x v="2"/>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x v="2"/>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x v="2"/>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x v="0"/>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x v="3"/>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x v="2"/>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x v="0"/>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x v="2"/>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x v="4"/>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x v="2"/>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x v="0"/>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x v="2"/>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x v="3"/>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x v="0"/>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x v="2"/>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x v="0"/>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x v="0"/>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x v="5"/>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x v="1"/>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x v="0"/>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x v="1"/>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x v="0"/>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x v="2"/>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x v="0"/>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x v="0"/>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x v="2"/>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x v="2"/>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x v="2"/>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x v="0"/>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x v="0"/>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x v="5"/>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x v="2"/>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x v="2"/>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x v="0"/>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x v="1"/>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x v="2"/>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x v="0"/>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x v="2"/>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x v="0"/>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x v="1"/>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x v="0"/>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x v="2"/>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x v="4"/>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x v="2"/>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x v="2"/>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x v="2"/>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x v="0"/>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x v="2"/>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x v="0"/>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x v="3"/>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x v="4"/>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x v="3"/>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x v="2"/>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x v="0"/>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x v="2"/>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x v="0"/>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x v="2"/>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x v="0"/>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x v="2"/>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x v="2"/>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x v="4"/>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x v="0"/>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x v="2"/>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x v="0"/>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x v="0"/>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x v="0"/>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x v="2"/>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x v="2"/>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x v="2"/>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x v="2"/>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x v="3"/>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x v="0"/>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x v="3"/>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x v="0"/>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x v="0"/>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x v="0"/>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x v="4"/>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x v="2"/>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x v="2"/>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x v="3"/>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x v="5"/>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x v="0"/>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x v="0"/>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x v="2"/>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x v="0"/>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x v="0"/>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x v="2"/>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x v="0"/>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x v="0"/>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x v="2"/>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x v="2"/>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x v="2"/>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x v="4"/>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x v="0"/>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x v="0"/>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x v="0"/>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x v="4"/>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x v="2"/>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x v="2"/>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x v="2"/>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x v="0"/>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x v="1"/>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x v="3"/>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x v="4"/>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x v="3"/>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x v="2"/>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x v="0"/>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x v="0"/>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x v="2"/>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x v="1"/>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x v="1"/>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x v="3"/>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x v="2"/>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x v="0"/>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x v="2"/>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x v="4"/>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x v="0"/>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x v="5"/>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x v="5"/>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x v="0"/>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x v="0"/>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x v="4"/>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x v="0"/>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x v="4"/>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x v="4"/>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x v="0"/>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x v="3"/>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x v="0"/>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x v="2"/>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x v="0"/>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x v="0"/>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x v="4"/>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x v="3"/>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x v="4"/>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x v="5"/>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x v="5"/>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x v="4"/>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x v="4"/>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x v="2"/>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x v="4"/>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x v="0"/>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x v="0"/>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x v="2"/>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x v="0"/>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x v="3"/>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x v="0"/>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x v="2"/>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x v="0"/>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x v="3"/>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x v="0"/>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x v="3"/>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x v="2"/>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x v="0"/>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x v="1"/>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x v="2"/>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x v="2"/>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x v="2"/>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x v="0"/>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x v="2"/>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x v="3"/>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x v="2"/>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x v="0"/>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x v="4"/>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x v="2"/>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x v="3"/>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x v="5"/>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x v="2"/>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x v="2"/>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x v="0"/>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x v="2"/>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x v="3"/>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x v="2"/>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x v="3"/>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x v="0"/>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x v="3"/>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x v="0"/>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x v="2"/>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x v="0"/>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x v="0"/>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x v="0"/>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x v="2"/>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x v="0"/>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x v="4"/>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x v="0"/>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x v="1"/>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x v="0"/>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x v="0"/>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18233-9DE0-4FEE-897C-18431D0B7BB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894EA-768A-4598-9808-055521AE6D0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D14DC-E319-4870-A1A9-FA7EEE3D8FC9}"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Age" fld="16" subtotal="average" baseField="0" baseItem="1" numFmtId="1"/>
    <dataField name="Count of Employee Number" fld="7" subtotal="count" baseField="0" baseItem="0"/>
    <dataField name="Sum of CF_attrition count" fld="17" baseField="0" baseItem="0"/>
  </dataFields>
  <formats count="1">
    <format dxfId="0">
      <pivotArea outline="0" collapsedLevelsAreSubtotals="1" fieldPosition="0">
        <references count="1">
          <reference field="429496729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A58753-40B5-46DA-9AE2-935E276064F2}" sourceName="Gender">
  <pivotTables>
    <pivotTable tabId="7" name="KPI"/>
  </pivotTables>
  <data>
    <tabular pivotCacheId="10839264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E2EF967-B0A2-4468-8CB1-7571EADA4186}" sourceName="Gender">
  <pivotTables>
    <pivotTable tabId="9" name="Rating"/>
  </pivotTables>
  <data>
    <tabular pivotCacheId="108392644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F0B6663-D4E0-4BF8-94CF-71C66E9F2F1D}" sourceName="Education Field">
  <pivotTables>
    <pivotTable tabId="9" name="Rating"/>
  </pivotTables>
  <data>
    <tabular pivotCacheId="1083926441">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26C40A9A-2703-4207-87C2-F3F645C98AA6}" sourceName="Gender">
  <pivotTables>
    <pivotTable tabId="10" name="Gender"/>
  </pivotTables>
  <data>
    <tabular pivotCacheId="108392644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EA22283-CDD4-4C7A-B53C-18878752B679}" sourceName="Education Field">
  <pivotTables>
    <pivotTable tabId="10" name="Gender"/>
  </pivotTables>
  <data>
    <tabular pivotCacheId="108392644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12ECFBE-1BCF-4607-B27F-973A576DC94F}" cache="Slicer_Gender2" caption="Gender" rowHeight="262466"/>
  <slicer name="Education Field 1" xr10:uid="{F556CF09-389A-4438-90DE-7697098A7B80}" cache="Slicer_Education_Field1" caption="Education Field"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BD2D0DD-7728-4E03-8605-BFBDA3FE8E5A}" cache="Slicer_Gender1" caption="Gender" rowHeight="262466"/>
  <slicer name="Education Field" xr10:uid="{25EF23D6-296A-4A62-8092-889133C393FF}" cache="Slicer_Education_Field"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1772006-04CE-421D-9015-90D6DD289A4E}" cache="Slicer_Gender"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A8" sqref="AA8"/>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B2CE-33F8-43A7-8C82-985769C91487}">
  <dimension ref="A3:C9"/>
  <sheetViews>
    <sheetView workbookViewId="0">
      <selection activeCell="B9" sqref="B9"/>
    </sheetView>
  </sheetViews>
  <sheetFormatPr defaultRowHeight="15.5" x14ac:dyDescent="0.35"/>
  <cols>
    <col min="1" max="1" width="12" bestFit="1" customWidth="1"/>
    <col min="2" max="2" width="14.58203125" bestFit="1" customWidth="1"/>
  </cols>
  <sheetData>
    <row r="3" spans="1:3" x14ac:dyDescent="0.35">
      <c r="A3" s="17" t="s">
        <v>1565</v>
      </c>
      <c r="B3" s="11" t="s">
        <v>1567</v>
      </c>
    </row>
    <row r="4" spans="1:3" x14ac:dyDescent="0.35">
      <c r="A4" s="18" t="s">
        <v>51</v>
      </c>
      <c r="B4" s="11">
        <v>588</v>
      </c>
    </row>
    <row r="5" spans="1:3" x14ac:dyDescent="0.35">
      <c r="A5" s="19" t="s">
        <v>62</v>
      </c>
      <c r="B5" s="20">
        <v>882</v>
      </c>
    </row>
    <row r="6" spans="1:3" x14ac:dyDescent="0.35">
      <c r="A6" s="21" t="s">
        <v>1566</v>
      </c>
      <c r="B6" s="22">
        <v>1470</v>
      </c>
    </row>
    <row r="8" spans="1:3" x14ac:dyDescent="0.35">
      <c r="A8" s="23" t="s">
        <v>51</v>
      </c>
      <c r="B8">
        <f>GETPIVOTDATA("emp no",$A$3,"Gender","Female")</f>
        <v>588</v>
      </c>
      <c r="C8" s="15">
        <f>B8/($B$8+$B$9)</f>
        <v>0.4</v>
      </c>
    </row>
    <row r="9" spans="1:3" x14ac:dyDescent="0.35">
      <c r="A9" s="23" t="s">
        <v>62</v>
      </c>
      <c r="B9">
        <f>GETPIVOTDATA("emp no",$A$3,"Gender","Male")</f>
        <v>882</v>
      </c>
      <c r="C9" s="15">
        <f>B9/($B$8+$B$9)</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5D1D-E95E-4005-B056-EF29CCA6B6B9}">
  <dimension ref="A3:C7"/>
  <sheetViews>
    <sheetView workbookViewId="0">
      <selection activeCell="K18" sqref="K18"/>
    </sheetView>
  </sheetViews>
  <sheetFormatPr defaultRowHeight="15.5" x14ac:dyDescent="0.35"/>
  <cols>
    <col min="1" max="1" width="23" bestFit="1" customWidth="1"/>
  </cols>
  <sheetData>
    <row r="3" spans="1:3" x14ac:dyDescent="0.35">
      <c r="A3" s="11" t="s">
        <v>1562</v>
      </c>
    </row>
    <row r="4" spans="1:3" x14ac:dyDescent="0.35">
      <c r="A4" s="13">
        <v>2.6265306122448981</v>
      </c>
    </row>
    <row r="6" spans="1:3" x14ac:dyDescent="0.35">
      <c r="A6" t="s">
        <v>1563</v>
      </c>
      <c r="B6" s="14">
        <f>GETPIVOTDATA("Job Satisfaction",$A$3)</f>
        <v>2.6265306122448981</v>
      </c>
      <c r="C6" s="15">
        <f>B6/4</f>
        <v>0.65663265306122454</v>
      </c>
    </row>
    <row r="7" spans="1:3" x14ac:dyDescent="0.35">
      <c r="A7" t="s">
        <v>1564</v>
      </c>
      <c r="B7" s="14">
        <f>4-GETPIVOTDATA("Job Satisfaction",$A$3)</f>
        <v>1.3734693877551019</v>
      </c>
      <c r="C7" s="15">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6709-9258-4FAD-8746-D8784C0C7BD8}">
  <dimension ref="A3:E7"/>
  <sheetViews>
    <sheetView workbookViewId="0">
      <selection activeCell="A3" sqref="A3:C4"/>
    </sheetView>
  </sheetViews>
  <sheetFormatPr defaultRowHeight="15.5" x14ac:dyDescent="0.35"/>
  <cols>
    <col min="1" max="1" width="13.08203125" bestFit="1" customWidth="1"/>
    <col min="2" max="2" width="23.83203125" bestFit="1" customWidth="1"/>
    <col min="3" max="3" width="22.08203125" bestFit="1" customWidth="1"/>
    <col min="4" max="4" width="15.25" bestFit="1" customWidth="1"/>
    <col min="5" max="5" width="12.25" bestFit="1" customWidth="1"/>
  </cols>
  <sheetData>
    <row r="3" spans="1:5" x14ac:dyDescent="0.35">
      <c r="A3" s="2" t="s">
        <v>1556</v>
      </c>
      <c r="B3" s="5" t="s">
        <v>1554</v>
      </c>
      <c r="C3" s="3" t="s">
        <v>1555</v>
      </c>
    </row>
    <row r="4" spans="1:5" x14ac:dyDescent="0.35">
      <c r="A4" s="7">
        <v>36.923809523809524</v>
      </c>
      <c r="B4" s="6">
        <v>1470</v>
      </c>
      <c r="C4" s="4">
        <v>237</v>
      </c>
    </row>
    <row r="6" spans="1:5" x14ac:dyDescent="0.35">
      <c r="A6" s="8" t="s">
        <v>1557</v>
      </c>
      <c r="B6" s="8" t="s">
        <v>1558</v>
      </c>
      <c r="C6" s="8" t="s">
        <v>1559</v>
      </c>
      <c r="D6" s="8" t="s">
        <v>1560</v>
      </c>
      <c r="E6" s="8" t="s">
        <v>1561</v>
      </c>
    </row>
    <row r="7" spans="1:5" x14ac:dyDescent="0.35">
      <c r="A7" s="9">
        <f>GETPIVOTDATA("Count of Employee Number",$A$3)</f>
        <v>1470</v>
      </c>
      <c r="B7" s="9">
        <f>GETPIVOTDATA("Sum of CF_attrition count",$A$3)</f>
        <v>237</v>
      </c>
      <c r="C7" s="9">
        <f>GETPIVOTDATA("Average of Age",$A$3)</f>
        <v>36.923809523809524</v>
      </c>
      <c r="D7" s="9">
        <f>A7-B7</f>
        <v>1233</v>
      </c>
      <c r="E7" s="10">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A1:AA20"/>
  <sheetViews>
    <sheetView showGridLines="0" tabSelected="1" zoomScale="56" zoomScaleNormal="56" workbookViewId="0">
      <selection activeCell="Z14" sqref="Z14"/>
    </sheetView>
  </sheetViews>
  <sheetFormatPr defaultColWidth="11.25" defaultRowHeight="15" customHeight="1" x14ac:dyDescent="0.35"/>
  <cols>
    <col min="1" max="26" width="8.58203125" style="12" customWidth="1"/>
    <col min="27" max="16384" width="11.25" style="12"/>
  </cols>
  <sheetData>
    <row r="1" spans="27:27" x14ac:dyDescent="0.35"/>
    <row r="2" spans="27:27" x14ac:dyDescent="0.35"/>
    <row r="3" spans="27:27" x14ac:dyDescent="0.35"/>
    <row r="4" spans="27:27" x14ac:dyDescent="0.35"/>
    <row r="5" spans="27:27" x14ac:dyDescent="0.35"/>
    <row r="6" spans="27:27" x14ac:dyDescent="0.35"/>
    <row r="7" spans="27:27" x14ac:dyDescent="0.35"/>
    <row r="8" spans="27:27" x14ac:dyDescent="0.35"/>
    <row r="9" spans="27:27" x14ac:dyDescent="0.35"/>
    <row r="10" spans="27:27" x14ac:dyDescent="0.35">
      <c r="AA10" s="16"/>
    </row>
    <row r="11" spans="27:27" x14ac:dyDescent="0.35"/>
    <row r="12" spans="27:27" x14ac:dyDescent="0.35"/>
    <row r="13" spans="27:27" x14ac:dyDescent="0.35"/>
    <row r="14" spans="27:27" x14ac:dyDescent="0.35"/>
    <row r="15" spans="27:27" x14ac:dyDescent="0.35"/>
    <row r="16" spans="27:27" x14ac:dyDescent="0.35"/>
    <row r="17" s="12" customFormat="1" x14ac:dyDescent="0.35"/>
    <row r="18" s="12" customFormat="1" x14ac:dyDescent="0.35"/>
    <row r="19" s="12" customFormat="1" x14ac:dyDescent="0.35"/>
    <row r="20" s="12" customFormat="1" x14ac:dyDescent="0.3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AA8" sqref="AA8"/>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Gender</vt:lpstr>
      <vt:lpstr>Rating</vt:lpstr>
      <vt:lpstr>KPI</vt:lpstr>
      <vt:lpstr>Dashboard</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Annapurna Zutshi</cp:lastModifiedBy>
  <dcterms:created xsi:type="dcterms:W3CDTF">2022-12-29T16:02:46Z</dcterms:created>
  <dcterms:modified xsi:type="dcterms:W3CDTF">2025-09-11T12:23:53Z</dcterms:modified>
</cp:coreProperties>
</file>